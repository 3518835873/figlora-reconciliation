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使用说明" sheetId="1" state="visible" r:id="rId1"/>
    <sheet name="🎨 商品目录" sheetId="2" state="visible" r:id="rId2"/>
    <sheet name="👩‍🎨 艺术家主数据" sheetId="3" state="visible" r:id="rId3"/>
    <sheet name="📦 销售出库" sheetId="4" state="visible" r:id="rId4"/>
    <sheet name="🏪 Sell-Through" sheetId="5" state="visible" r:id="rId5"/>
    <sheet name="💰 银行回款" sheetId="6" state="visible" r:id="rId6"/>
    <sheet name="🎯 摩点众筹结算" sheetId="7" state="visible" r:id="rId7"/>
    <sheet name="🔗 经销商对账" sheetId="8" state="visible" r:id="rId8"/>
    <sheet name="🎨 艺术家版税结算" sheetId="9" state="visible" r:id="rId9"/>
    <sheet name="🎪 展会核算" sheetId="10" state="visible" r:id="rId10"/>
    <sheet name="📊 Dashboard" sheetId="11" state="visible" r:id="rId11"/>
    <sheet name="📋 合同发票台账" sheetId="12" state="visible" r:id="rId12"/>
    <sheet name="📦 代账交接清单" sheetId="13" state="visible" r:id="rId13"/>
    <sheet name="💵 现金日记账" sheetId="14" state="visible" r:id="rId14"/>
    <sheet name="🧾 费用报销审核" sheetId="15" state="visible" r:id="rId15"/>
  </sheets>
  <definedNames>
    <definedName name="_xlnm._FilterDatabase" localSheetId="1" hidden="1">'🎨 商品目录'!$A$3:$F$27</definedName>
    <definedName name="_xlnm.Print_Titles" localSheetId="1">'🎨 商品目录'!1:3</definedName>
    <definedName name="_xlnm._FilterDatabase" localSheetId="2" hidden="1">'👩‍🎨 艺术家主数据'!$A$3:$I$11</definedName>
    <definedName name="_xlnm.Print_Titles" localSheetId="2">'👩‍🎨 艺术家主数据'!1:3</definedName>
    <definedName name="_xlnm._FilterDatabase" localSheetId="3" hidden="1">'📦 销售出库'!$A$3:$O$48</definedName>
    <definedName name="_xlnm.Print_Titles" localSheetId="3">'📦 销售出库'!1:3</definedName>
    <definedName name="_xlnm._FilterDatabase" localSheetId="4" hidden="1">'🏪 Sell-Through'!$A$3:$H$28</definedName>
    <definedName name="_xlnm.Print_Titles" localSheetId="4">'🏪 Sell-Through'!1:3</definedName>
    <definedName name="_xlnm._FilterDatabase" localSheetId="5" hidden="1">'💰 银行回款'!$A$3:$J$25</definedName>
    <definedName name="_xlnm.Print_Titles" localSheetId="5">'💰 银行回款'!1:3</definedName>
    <definedName name="_xlnm._FilterDatabase" localSheetId="6" hidden="1">'🎯 摩点众筹结算'!$A$34:$I$146</definedName>
    <definedName name="_xlnm.Print_Titles" localSheetId="6">'🎯 摩点众筹结算'!1:3</definedName>
    <definedName name="_xlnm.Print_Titles" localSheetId="7">'🔗 经销商对账'!1:3</definedName>
    <definedName name="_xlnm.Print_Titles" localSheetId="8">'🎨 艺术家版税结算'!1:3</definedName>
    <definedName name="_xlnm._FilterDatabase" localSheetId="9" hidden="1">'🎪 展会核算'!$A$3:$K$6</definedName>
    <definedName name="_xlnm.Print_Titles" localSheetId="9">'🎪 展会核算'!1:3</definedName>
    <definedName name="_xlnm._FilterDatabase" localSheetId="11" hidden="1">'📋 合同发票台账'!$A$3:$J$17</definedName>
    <definedName name="_xlnm.Print_Titles" localSheetId="11">'📋 合同发票台账'!1:3</definedName>
    <definedName name="_xlnm.Print_Titles" localSheetId="13">'💵 现金日记账'!1:3</definedName>
    <definedName name="_xlnm._FilterDatabase" localSheetId="14" hidden="1">'🧾 费用报销审核'!$A$3:$J$13</definedName>
    <definedName name="_xlnm.Print_Titles" localSheetId="14">'🧾 费用报销审核'!1:3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yyyy-mm"/>
  </numFmts>
  <fonts count="18">
    <font>
      <name val="Calibri"/>
      <family val="2"/>
      <color theme="1"/>
      <sz val="11"/>
      <scheme val="minor"/>
    </font>
    <font>
      <name val="微软雅黑"/>
      <b val="1"/>
      <color rgb="004A2563"/>
      <sz val="16"/>
    </font>
    <font>
      <name val="微软雅黑"/>
      <color rgb="006B6B6B"/>
      <sz val="10"/>
    </font>
    <font>
      <name val="微软雅黑"/>
      <b val="1"/>
      <color rgb="004A2563"/>
      <sz val="11"/>
    </font>
    <font>
      <name val="微软雅黑"/>
      <color rgb="00333333"/>
      <sz val="10"/>
    </font>
    <font>
      <name val="微软雅黑"/>
      <b val="1"/>
      <color rgb="004A2563"/>
      <sz val="12"/>
    </font>
    <font>
      <name val="微软雅黑"/>
      <sz val="10"/>
    </font>
    <font>
      <name val="微软雅黑"/>
      <b val="1"/>
      <color rgb="00006100"/>
      <sz val="10"/>
    </font>
    <font>
      <name val="微软雅黑"/>
      <b val="1"/>
      <color rgb="009C6500"/>
      <sz val="10"/>
    </font>
    <font>
      <name val="微软雅黑"/>
      <b val="1"/>
      <color rgb="009C0006"/>
      <sz val="10"/>
    </font>
    <font>
      <name val="微软雅黑"/>
      <b val="1"/>
      <color rgb="004A2563"/>
      <sz val="10"/>
    </font>
    <font>
      <name val="微软雅黑"/>
      <b val="1"/>
      <color rgb="004A2563"/>
      <sz val="14"/>
    </font>
    <font>
      <name val="微软雅黑"/>
      <i val="1"/>
      <color rgb="006B6B6B"/>
      <sz val="9"/>
    </font>
    <font>
      <name val="微软雅黑"/>
      <b val="1"/>
      <sz val="10"/>
    </font>
    <font>
      <name val="微软雅黑"/>
      <b val="1"/>
      <color rgb="006B6B6B"/>
      <sz val="10"/>
    </font>
    <font>
      <name val="微软雅黑"/>
      <sz val="9"/>
    </font>
    <font>
      <name val="微软雅黑"/>
      <b val="1"/>
      <color rgb="004A2563"/>
      <sz val="15"/>
    </font>
    <font>
      <name val="微软雅黑"/>
      <color rgb="007F2A2A"/>
      <sz val="10"/>
    </font>
  </fonts>
  <fills count="14">
    <fill>
      <patternFill/>
    </fill>
    <fill>
      <patternFill patternType="gray125"/>
    </fill>
    <fill>
      <patternFill patternType="solid">
        <fgColor rgb="00EDE0F7"/>
      </patternFill>
    </fill>
    <fill>
      <patternFill patternType="solid">
        <fgColor rgb="00E8D5F5"/>
      </patternFill>
    </fill>
    <fill>
      <patternFill patternType="solid">
        <fgColor rgb="00F5F0FA"/>
      </patternFill>
    </fill>
    <fill>
      <patternFill patternType="solid">
        <fgColor rgb="00EDEDED"/>
      </patternFill>
    </fill>
    <fill>
      <patternFill patternType="solid">
        <fgColor rgb="00D9E2F3"/>
      </patternFill>
    </fill>
    <fill>
      <patternFill patternType="solid">
        <fgColor rgb="00E6D9F2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0E4FA"/>
      </patternFill>
    </fill>
    <fill>
      <patternFill patternType="solid">
        <fgColor rgb="00FFE9E0"/>
      </patternFill>
    </fill>
  </fills>
  <borders count="2">
    <border>
      <left/>
      <right/>
      <top/>
      <bottom/>
      <diagonal/>
    </border>
    <border>
      <left style="thin">
        <color rgb="00C9C9D9"/>
      </left>
      <right style="thin">
        <color rgb="00C9C9D9"/>
      </right>
      <top style="thin">
        <color rgb="00C9C9D9"/>
      </top>
      <bottom style="thin">
        <color rgb="00C9C9D9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11" fillId="1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165" fontId="9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 wrapText="1"/>
    </xf>
    <xf numFmtId="3" fontId="9" fillId="11" borderId="1" applyAlignment="1" pivotButton="0" quotePrefix="0" xfId="0">
      <alignment horizontal="center" vertical="center"/>
    </xf>
    <xf numFmtId="4" fontId="9" fillId="11" borderId="1" applyAlignment="1" pivotButton="0" quotePrefix="0" xfId="0">
      <alignment horizontal="left" vertical="center" wrapText="1"/>
    </xf>
    <xf numFmtId="2" fontId="9" fillId="11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left" vertical="center" wrapText="1"/>
    </xf>
    <xf numFmtId="0" fontId="13" fillId="3" borderId="1" pivotButton="0" quotePrefix="0" xfId="0"/>
    <xf numFmtId="4" fontId="13" fillId="3" borderId="1" pivotButton="0" quotePrefix="0" xfId="0"/>
    <xf numFmtId="0" fontId="6" fillId="0" borderId="1" pivotButton="0" quotePrefix="0" xfId="0"/>
    <xf numFmtId="4" fontId="6" fillId="0" borderId="1" applyAlignment="1" pivotButton="0" quotePrefix="0" xfId="0">
      <alignment horizontal="right" vertical="center"/>
    </xf>
    <xf numFmtId="3" fontId="13" fillId="3" borderId="1" pivotButton="0" quotePrefix="0" xfId="0"/>
    <xf numFmtId="0" fontId="10" fillId="0" borderId="0" pivotButton="0" quotePrefix="0" xfId="0"/>
    <xf numFmtId="4" fontId="6" fillId="0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/>
    </xf>
    <xf numFmtId="0" fontId="12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164" fontId="13" fillId="3" borderId="1" pivotButton="0" quotePrefix="0" xfId="0"/>
    <xf numFmtId="0" fontId="1" fillId="1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4" fontId="11" fillId="3" borderId="1" applyAlignment="1" pivotButton="0" quotePrefix="0" xfId="0">
      <alignment horizontal="center" vertical="center"/>
    </xf>
    <xf numFmtId="164" fontId="11" fillId="3" borderId="1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 vertical="center"/>
    </xf>
    <xf numFmtId="0" fontId="13" fillId="0" borderId="0" pivotButton="0" quotePrefix="0" xfId="0"/>
    <xf numFmtId="4" fontId="13" fillId="0" borderId="0" pivotButton="0" quotePrefix="0" xfId="0"/>
    <xf numFmtId="4" fontId="6" fillId="0" borderId="1" pivotButton="0" quotePrefix="0" xfId="0"/>
    <xf numFmtId="164" fontId="6" fillId="0" borderId="1" pivotButton="0" quotePrefix="0" xfId="0"/>
    <xf numFmtId="165" fontId="0" fillId="0" borderId="0" pivotButton="0" quotePrefix="0" xfId="0"/>
    <xf numFmtId="0" fontId="6" fillId="4" borderId="1" pivotButton="0" quotePrefix="0" xfId="0"/>
    <xf numFmtId="4" fontId="6" fillId="4" borderId="1" pivotButton="0" quotePrefix="0" xfId="0"/>
    <xf numFmtId="164" fontId="6" fillId="4" borderId="1" pivotButton="0" quotePrefix="0" xfId="0"/>
    <xf numFmtId="0" fontId="15" fillId="0" borderId="0" pivotButton="0" quotePrefix="0" xfId="0"/>
    <xf numFmtId="4" fontId="15" fillId="0" borderId="0" applyAlignment="1" pivotButton="0" quotePrefix="0" xfId="0">
      <alignment horizontal="right" vertical="center"/>
    </xf>
    <xf numFmtId="0" fontId="16" fillId="12" borderId="0" applyAlignment="1" pivotButton="0" quotePrefix="0" xfId="0">
      <alignment horizontal="center" vertical="center"/>
    </xf>
    <xf numFmtId="0" fontId="6" fillId="0" borderId="0" pivotButton="0" quotePrefix="0" xfId="0"/>
    <xf numFmtId="3" fontId="6" fillId="4" borderId="1" pivotButton="0" quotePrefix="0" xfId="0"/>
    <xf numFmtId="3" fontId="6" fillId="0" borderId="1" pivotButton="0" quotePrefix="0" xfId="0"/>
    <xf numFmtId="0" fontId="17" fillId="0" borderId="0" pivotButton="0" quotePrefix="0" xfId="0"/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经销商应收 vs 已回（元）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Dashboard'!C41</f>
            </strRef>
          </tx>
          <spPr>
            <a:solidFill>
              <a:srgbClr val="7030A0"/>
            </a:solidFill>
            <a:ln>
              <a:prstDash val="solid"/>
            </a:ln>
          </spPr>
          <cat>
            <numRef>
              <f>'📊 Dashboard'!$B$42:$B$51</f>
            </numRef>
          </cat>
          <val>
            <numRef>
              <f>'📊 Dashboard'!$C$42:$C$51</f>
            </numRef>
          </val>
        </ser>
        <ser>
          <idx val="1"/>
          <order val="1"/>
          <tx>
            <strRef>
              <f>'📊 Dashboard'!D41</f>
            </strRef>
          </tx>
          <spPr>
            <a:solidFill>
              <a:srgbClr val="4472C4"/>
            </a:solidFill>
            <a:ln>
              <a:prstDash val="solid"/>
            </a:ln>
          </spPr>
          <cat>
            <numRef>
              <f>'📊 Dashboard'!$B$42:$B$51</f>
            </numRef>
          </cat>
          <val>
            <numRef>
              <f>'📊 Dashboard'!$D$42:$D$51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经销商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月度销售 / 回款趋势（元）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Dashboard'!L8</f>
            </strRef>
          </tx>
          <spPr>
            <a:ln>
              <a:solidFill>
                <a:srgbClr val="7030A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Dashboard'!$K$9:$K$11</f>
            </numRef>
          </cat>
          <val>
            <numRef>
              <f>'📊 Dashboard'!$L$9:$L$11</f>
            </numRef>
          </val>
        </ser>
        <ser>
          <idx val="1"/>
          <order val="1"/>
          <tx>
            <strRef>
              <f>'📊 Dashboard'!M8</f>
            </strRef>
          </tx>
          <spPr>
            <a:ln>
              <a:solidFill>
                <a:srgbClr val="E36C09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'📊 Dashboard'!$K$9:$K$11</f>
            </numRef>
          </cat>
          <val>
            <numRef>
              <f>'📊 Dashboard'!$M$9:$M$11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13</row>
      <rowOff>0</rowOff>
    </from>
    <ext cx="43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F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7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 ht="36" customHeight="1">
      <c r="A1" s="1" t="inlineStr">
        <is>
          <t>菲格洛亚 FIGUEROA — BabyCat 财务对账工具包</t>
        </is>
      </c>
    </row>
    <row r="2">
      <c r="A2" s="2" t="inlineStr">
        <is>
          <t>版本 v1.0  ·  生成日期 2026-08-11  ·  数据期间 2026年5月—7月（含2025年摩点众筹 / 展会历史事项）</t>
        </is>
      </c>
    </row>
    <row r="4" ht="22" customHeight="1">
      <c r="A4" s="3" t="inlineStr">
        <is>
          <t>① 公司背景</t>
        </is>
      </c>
    </row>
    <row r="5" ht="16" customHeight="1">
      <c r="A5" s="4" t="inlineStr">
        <is>
          <t>菲格洛亚（FIGUEROA）为 AI 原生潮玩公司，主打 IP「BabyCat」毛绒盲盒——8 个猫品种角色（6 常规款 + 2 隐藏款）。</t>
        </is>
      </c>
    </row>
    <row r="6" ht="16" customHeight="1">
      <c r="A6" s="4" t="inlineStr">
        <is>
          <t>渠道覆盖：名创优品 / TOPTOY / KKV / 九木杂物社 / 沃尔玛 / 抖音电商 / TikTok 跨境 / 区域经销；</t>
        </is>
      </c>
    </row>
    <row r="7" ht="16" customHeight="1">
      <c r="A7" s="4" t="inlineStr">
        <is>
          <t>并先后在摩点平台发起众筹（三阶段结算，平台服务费 6%），参加 CTE、HTE 等潮玩展会。</t>
        </is>
      </c>
    </row>
    <row r="9" ht="22" customHeight="1">
      <c r="A9" s="3" t="inlineStr">
        <is>
          <t>② 工作簿结构（15 张表）</t>
        </is>
      </c>
    </row>
    <row r="10">
      <c r="A10" s="5" t="inlineStr">
        <is>
          <t>工作表</t>
        </is>
      </c>
      <c r="B10" s="5" t="inlineStr">
        <is>
          <t>内容说明</t>
        </is>
      </c>
      <c r="C10" s="5" t="inlineStr">
        <is>
          <t>类型</t>
        </is>
      </c>
    </row>
    <row r="11">
      <c r="A11" s="6" t="inlineStr">
        <is>
          <t>📋 使用说明</t>
        </is>
      </c>
      <c r="B11" s="6" t="inlineStr">
        <is>
          <t>本页：版本、结构索引、对账流程、口径与图例</t>
        </is>
      </c>
      <c r="C11" s="7" t="inlineStr">
        <is>
          <t>工具</t>
        </is>
      </c>
    </row>
    <row r="12">
      <c r="A12" s="8" t="inlineStr">
        <is>
          <t>🎨 商品目录</t>
        </is>
      </c>
      <c r="B12" s="8" t="inlineStr">
        <is>
          <t>BabyCat 全系 24 个 SKU：零售价 / 经销价</t>
        </is>
      </c>
      <c r="C12" s="9" t="inlineStr">
        <is>
          <t>数据</t>
        </is>
      </c>
    </row>
    <row r="13">
      <c r="A13" s="6" t="inlineStr">
        <is>
          <t>👩‍🎨 艺术家主数据</t>
        </is>
      </c>
      <c r="B13" s="6" t="inlineStr">
        <is>
          <t>8 位艺术家、关联 SKU、分成比例与预计月版税</t>
        </is>
      </c>
      <c r="C13" s="9" t="inlineStr">
        <is>
          <t>数据</t>
        </is>
      </c>
    </row>
    <row r="14">
      <c r="A14" s="8" t="inlineStr">
        <is>
          <t>📦 销售出库</t>
        </is>
      </c>
      <c r="B14" s="8" t="inlineStr">
        <is>
          <t>45 笔销售单（含退货冲销，红色标识），账期与到期日</t>
        </is>
      </c>
      <c r="C14" s="9" t="inlineStr">
        <is>
          <t>数据</t>
        </is>
      </c>
    </row>
    <row r="15">
      <c r="A15" s="6" t="inlineStr">
        <is>
          <t>🏪 Sell-Through</t>
        </is>
      </c>
      <c r="B15" s="6" t="inlineStr">
        <is>
          <t>经销商门店动销 25 条，与出库口径相互印证</t>
        </is>
      </c>
      <c r="C15" s="9" t="inlineStr">
        <is>
          <t>数据</t>
        </is>
      </c>
    </row>
    <row r="16">
      <c r="A16" s="8" t="inlineStr">
        <is>
          <t>💰 银行回款</t>
        </is>
      </c>
      <c r="B16" s="8" t="inlineStr">
        <is>
          <t>22 笔银行回款，按付款方名称自动匹配经销商（辅助列可隐藏）</t>
        </is>
      </c>
      <c r="C16" s="9" t="inlineStr">
        <is>
          <t>数据</t>
        </is>
      </c>
    </row>
    <row r="17">
      <c r="A17" s="6" t="inlineStr">
        <is>
          <t>🎯 摩点众筹结算</t>
        </is>
      </c>
      <c r="B17" s="6" t="inlineStr">
        <is>
          <t>三阶段结算汇总、平台服务费 6% 测算、112 笔支持明细抽样</t>
        </is>
      </c>
      <c r="C17" s="10" t="inlineStr">
        <is>
          <t>分析</t>
        </is>
      </c>
    </row>
    <row r="18">
      <c r="A18" s="8" t="inlineStr">
        <is>
          <t>🔗 经销商对账</t>
        </is>
      </c>
      <c r="B18" s="8" t="inlineStr">
        <is>
          <t>核心表：SUMIF 跨表计算应收/已回/差异/状态 + 待核对事项</t>
        </is>
      </c>
      <c r="C18" s="10" t="inlineStr">
        <is>
          <t>分析</t>
        </is>
      </c>
    </row>
    <row r="19">
      <c r="A19" s="6" t="inlineStr">
        <is>
          <t>🎨 艺术家版税结算</t>
        </is>
      </c>
      <c r="B19" s="6" t="inlineStr">
        <is>
          <t>关联 SKU 销售实收 × 分成比例，SUMIF 公式引用销售出库</t>
        </is>
      </c>
      <c r="C19" s="10" t="inlineStr">
        <is>
          <t>分析</t>
        </is>
      </c>
    </row>
    <row r="20">
      <c r="A20" s="8" t="inlineStr">
        <is>
          <t>🎪 展会核算</t>
        </is>
      </c>
      <c r="B20" s="8" t="inlineStr">
        <is>
          <t>3 场展会收入费用与毛利率（含综合毛利率）</t>
        </is>
      </c>
      <c r="C20" s="9" t="inlineStr">
        <is>
          <t>数据</t>
        </is>
      </c>
    </row>
    <row r="21">
      <c r="A21" s="6" t="inlineStr">
        <is>
          <t>📊 Dashboard</t>
        </is>
      </c>
      <c r="B21" s="6" t="inlineStr">
        <is>
          <t>KPI 卡片、经销商应收vs已回柱状图、月度趋势折线图、账龄分析</t>
        </is>
      </c>
      <c r="C21" s="11" t="inlineStr">
        <is>
          <t>仪表盘</t>
        </is>
      </c>
    </row>
    <row r="22">
      <c r="A22" s="8" t="inlineStr">
        <is>
          <t>📋 合同发票台账</t>
        </is>
      </c>
      <c r="B22" s="8" t="inlineStr">
        <is>
          <t>15 份合同 + 进项/销项发票登记与开票状态</t>
        </is>
      </c>
      <c r="C22" s="9" t="inlineStr">
        <is>
          <t>数据</t>
        </is>
      </c>
    </row>
    <row r="23">
      <c r="A23" s="6" t="inlineStr">
        <is>
          <t>📦 代账交接清单</t>
        </is>
      </c>
      <c r="B23" s="6" t="inlineStr">
        <is>
          <t>移交外部代账公司的期间汇总、文档清单与待办事项</t>
        </is>
      </c>
      <c r="C23" s="7" t="inlineStr">
        <is>
          <t>工具</t>
        </is>
      </c>
    </row>
    <row r="24">
      <c r="A24" s="8" t="inlineStr">
        <is>
          <t>💵 现金日记账</t>
        </is>
      </c>
      <c r="B24" s="8" t="inlineStr">
        <is>
          <t>众筹/展会/回款现金流示例，余额自动累计</t>
        </is>
      </c>
      <c r="C24" s="10" t="inlineStr">
        <is>
          <t>分析</t>
        </is>
      </c>
    </row>
    <row r="25">
      <c r="A25" s="6" t="inlineStr">
        <is>
          <t>🧾 费用报销审核</t>
        </is>
      </c>
      <c r="B25" s="6" t="inlineStr">
        <is>
          <t>10 笔示例报销，自动校验发票金额差异与 OA 审批</t>
        </is>
      </c>
      <c r="C25" s="10" t="inlineStr">
        <is>
          <t>分析</t>
        </is>
      </c>
    </row>
    <row r="27" ht="22" customHeight="1">
      <c r="A27" s="3" t="inlineStr">
        <is>
          <t>③ 对账工作流程</t>
        </is>
      </c>
    </row>
    <row r="28" ht="17" customHeight="1">
      <c r="A28" s="4" t="inlineStr">
        <is>
          <t>1. 导出数据：销售出库 / 门店动销 / 银行回款 / 众筹结算 / 展会收入 / 合同（CSV 落盘到 ../data/）；</t>
        </is>
      </c>
    </row>
    <row r="29" ht="17" customHeight="1">
      <c r="A29" s="4" t="inlineStr">
        <is>
          <t>2. 回款匹配：脚本按付款方名称自动匹配经销商（名称一致 → 规范化一致 → 包含匹配，如『酷乐潮玩（北京）贸易公司』）；</t>
        </is>
      </c>
    </row>
    <row r="30" ht="17" customHeight="1">
      <c r="A30" s="4" t="inlineStr">
        <is>
          <t>3. 生成对账：『🔗 经销商对账』按经销商汇总应收（SUMIF 销售出库实收）与已回（SUMIF 银行回款辅助列），计算差异与状态；</t>
        </is>
      </c>
    </row>
    <row r="31" ht="17" customHeight="1">
      <c r="A31" s="4" t="inlineStr">
        <is>
          <t>4. 处理差异：在『待核对事项』逐条核实（部分回款 / 超额回款 / 抹零 / 汇兑 / 退货冲销 / 逾期未回）；</t>
        </is>
      </c>
    </row>
    <row r="32" ht="17" customHeight="1">
      <c r="A32" s="4" t="inlineStr">
        <is>
          <t>5. 平行结算：摩点众筹三阶段核销、艺术家版税计提、展会收支毛利、费用报销复核；</t>
        </is>
      </c>
    </row>
    <row r="33" ht="17" customHeight="1">
      <c r="A33" s="4" t="inlineStr">
        <is>
          <t>6. 归档交接：按『📦 代账交接清单』整理凭证、对账单与发票，移交代账公司。</t>
        </is>
      </c>
    </row>
    <row r="35" ht="22" customHeight="1">
      <c r="A35" s="3" t="inlineStr">
        <is>
          <t>④ 口径说明</t>
        </is>
      </c>
    </row>
    <row r="36" ht="16" customHeight="1">
      <c r="A36" s="4" t="inlineStr">
        <is>
          <t>应收口径：销售出库『实收金额』（= 金额 × 折扣率），退货冲销为负数自动冲减；</t>
        </is>
      </c>
    </row>
    <row r="37" ht="16" customHeight="1">
      <c r="A37" s="4" t="inlineStr">
        <is>
          <t>已回口径：银行回款金额，按付款方自动匹配经销商后汇总（不含众筹/展会等非经销回款）；</t>
        </is>
      </c>
    </row>
    <row r="38" ht="16" customHeight="1">
      <c r="A38" s="4" t="inlineStr">
        <is>
          <t>匹配状态：|应收-已回| &lt; 0.01 → 已匹配（绿）；已回&gt;0 但存在差异 → 部分/超额回款（黄）；已回=0 → 未回款（红）；</t>
        </is>
      </c>
    </row>
    <row r="39" ht="16" customHeight="1">
      <c r="A39" s="4" t="inlineStr">
        <is>
          <t>众筹口径：应结算金额为平台扣除服务费后的净额，服务费按 6% 倒算（毛额=净额/0.94）；</t>
        </is>
      </c>
    </row>
    <row r="40" ht="16" customHeight="1">
      <c r="A40" s="4" t="inlineStr">
        <is>
          <t>版税口径：版税基数 = 艺术家关联 SKU 对应销售规格的实收金额合计；隐藏款无独立规格当期不计；</t>
        </is>
      </c>
    </row>
    <row r="41" ht="16" customHeight="1">
      <c r="A41" s="4" t="inlineStr">
        <is>
          <t>账龄口径：按销售单到期日与基准日（2026-08-11）计算，负数退货计入相应账龄。</t>
        </is>
      </c>
    </row>
    <row r="43" ht="22" customHeight="1">
      <c r="A43" s="3" t="inlineStr">
        <is>
          <t>⑤ 颜色图例</t>
        </is>
      </c>
    </row>
    <row r="44" ht="18" customHeight="1">
      <c r="A44" s="12" t="inlineStr">
        <is>
          <t>■ 已匹配（应收≈已回）</t>
        </is>
      </c>
    </row>
    <row r="45" ht="18" customHeight="1">
      <c r="A45" s="13" t="inlineStr">
        <is>
          <t>■ 部分回款 / 超额回款</t>
        </is>
      </c>
    </row>
    <row r="46" ht="18" customHeight="1">
      <c r="A46" s="14" t="inlineStr">
        <is>
          <t>■ 未回款 / 发票差异</t>
        </is>
      </c>
    </row>
    <row r="47" ht="18" customHeight="1">
      <c r="A47" s="15" t="inlineStr">
        <is>
          <t>■ 表头（浅紫品牌色）</t>
        </is>
      </c>
    </row>
    <row r="49" ht="22" customHeight="1">
      <c r="A49" s="3" t="inlineStr">
        <is>
          <t>⑥ 使用提示</t>
        </is>
      </c>
    </row>
    <row r="50" ht="16" customHeight="1">
      <c r="A50" s="4" t="inlineStr">
        <is>
          <t>· Dashboard F31 为对账基准日，可修改后自动重算账龄与全表；</t>
        </is>
      </c>
    </row>
    <row r="51" ht="16" customHeight="1">
      <c r="A51" s="4" t="inlineStr">
        <is>
          <t>· 『💰 银行回款』J 列（经销商编码）为 SUMIF 辅助列，可隐藏不影响公式；</t>
        </is>
      </c>
    </row>
    <row r="52" ht="16" customHeight="1">
      <c r="A52" s="4" t="inlineStr">
        <is>
          <t>· 所有跨表公式在 Excel 打开时自动重算，文件无外部数据连接，可独立分发；</t>
        </is>
      </c>
    </row>
    <row r="53" ht="16" customHeight="1">
      <c r="A53" s="4" t="inlineStr">
        <is>
          <t>· 打印已设置为横向、适应页宽并重复表头行，可直接打印存档。</t>
        </is>
      </c>
    </row>
  </sheetData>
  <mergeCells count="27">
    <mergeCell ref="A1:F1"/>
    <mergeCell ref="A2:F2"/>
    <mergeCell ref="A4:F4"/>
    <mergeCell ref="A5:F5"/>
    <mergeCell ref="A6:F6"/>
    <mergeCell ref="A7:F7"/>
    <mergeCell ref="A9:F9"/>
    <mergeCell ref="A27:F27"/>
    <mergeCell ref="A28:F28"/>
    <mergeCell ref="A29:F29"/>
    <mergeCell ref="A30:F30"/>
    <mergeCell ref="A31:F31"/>
    <mergeCell ref="A32:F32"/>
    <mergeCell ref="A33:F33"/>
    <mergeCell ref="A35:F35"/>
    <mergeCell ref="A36:F36"/>
    <mergeCell ref="A37:F37"/>
    <mergeCell ref="A38:F38"/>
    <mergeCell ref="A39:F39"/>
    <mergeCell ref="A40:F40"/>
    <mergeCell ref="A41:F41"/>
    <mergeCell ref="A43:F43"/>
    <mergeCell ref="A49:F49"/>
    <mergeCell ref="A50:F50"/>
    <mergeCell ref="A51:F51"/>
    <mergeCell ref="A52:F52"/>
    <mergeCell ref="A53:F53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05" customWidth="1" min="1" max="1"/>
    <col width="13.5" customWidth="1" min="2" max="2"/>
    <col width="50.3" customWidth="1" min="3" max="3"/>
    <col width="8.899999999999999" customWidth="1" min="4" max="4"/>
    <col width="8.899999999999999" customWidth="1" min="5" max="5"/>
    <col width="8.899999999999999" customWidth="1" min="6" max="6"/>
  </cols>
  <sheetData>
    <row r="1" ht="30" customHeight="1">
      <c r="A1" s="16" t="inlineStr">
        <is>
          <t>🎨 商品目录 — BabyCat 毛绒盲盒及周边（24 款）</t>
        </is>
      </c>
    </row>
    <row r="2" ht="18" customHeight="1">
      <c r="A2" s="17" t="inlineStr">
        <is>
          <t>零售价 = 建议零售价；经销价 = 渠道供货价；盲盒随机出货，明盒指定角色，端盒 6 只不重复。</t>
        </is>
      </c>
    </row>
    <row r="3">
      <c r="A3" s="5" t="inlineStr">
        <is>
          <t>SKU编码</t>
        </is>
      </c>
      <c r="B3" s="5" t="inlineStr">
        <is>
          <t>规格编码</t>
        </is>
      </c>
      <c r="C3" s="5" t="inlineStr">
        <is>
          <t>商品名称</t>
        </is>
      </c>
      <c r="D3" s="5" t="inlineStr">
        <is>
          <t>品类</t>
        </is>
      </c>
      <c r="E3" s="5" t="inlineStr">
        <is>
          <t>零售价</t>
        </is>
      </c>
      <c r="F3" s="5" t="inlineStr">
        <is>
          <t>经销价</t>
        </is>
      </c>
    </row>
    <row r="4">
      <c r="A4" s="18" t="inlineStr">
        <is>
          <t>SKU-001</t>
        </is>
      </c>
      <c r="B4" s="18" t="inlineStr">
        <is>
          <t>BLIND-01</t>
        </is>
      </c>
      <c r="C4" s="6" t="inlineStr">
        <is>
          <t>BabyCat随机单盒（盲盒早鸟）</t>
        </is>
      </c>
      <c r="D4" s="18" t="inlineStr">
        <is>
          <t>盲盒</t>
        </is>
      </c>
      <c r="E4" s="19" t="n">
        <v>89</v>
      </c>
      <c r="F4" s="19" t="n">
        <v>69</v>
      </c>
    </row>
    <row r="5">
      <c r="A5" s="20" t="inlineStr">
        <is>
          <t>SKU-002</t>
        </is>
      </c>
      <c r="B5" s="20" t="inlineStr">
        <is>
          <t>BLIND-02</t>
        </is>
      </c>
      <c r="C5" s="8" t="inlineStr">
        <is>
          <t>BabyCat随机单盒（盲盒常规）</t>
        </is>
      </c>
      <c r="D5" s="20" t="inlineStr">
        <is>
          <t>盲盒</t>
        </is>
      </c>
      <c r="E5" s="21" t="n">
        <v>95</v>
      </c>
      <c r="F5" s="21" t="n">
        <v>69</v>
      </c>
    </row>
    <row r="6">
      <c r="A6" s="18" t="inlineStr">
        <is>
          <t>SKU-003</t>
        </is>
      </c>
      <c r="B6" s="18" t="inlineStr">
        <is>
          <t>OPEN-BC-01</t>
        </is>
      </c>
      <c r="C6" s="6" t="inlineStr">
        <is>
          <t>BabyCat明盒·橘影神偷（橘猫）</t>
        </is>
      </c>
      <c r="D6" s="18" t="inlineStr">
        <is>
          <t>明盒</t>
        </is>
      </c>
      <c r="E6" s="19" t="n">
        <v>100</v>
      </c>
      <c r="F6" s="19" t="n">
        <v>69</v>
      </c>
    </row>
    <row r="7">
      <c r="A7" s="20" t="inlineStr">
        <is>
          <t>SKU-004</t>
        </is>
      </c>
      <c r="B7" s="20" t="inlineStr">
        <is>
          <t>OPEN-BC-02</t>
        </is>
      </c>
      <c r="C7" s="8" t="inlineStr">
        <is>
          <t>BabyCat明盒·折耳骑士（英短折耳）</t>
        </is>
      </c>
      <c r="D7" s="20" t="inlineStr">
        <is>
          <t>明盒</t>
        </is>
      </c>
      <c r="E7" s="21" t="n">
        <v>100</v>
      </c>
      <c r="F7" s="21" t="n">
        <v>69</v>
      </c>
    </row>
    <row r="8">
      <c r="A8" s="18" t="inlineStr">
        <is>
          <t>SKU-005</t>
        </is>
      </c>
      <c r="B8" s="18" t="inlineStr">
        <is>
          <t>OPEN-BC-03</t>
        </is>
      </c>
      <c r="C8" s="6" t="inlineStr">
        <is>
          <t>BabyCat明盒·笨笨博士（布偶猫）</t>
        </is>
      </c>
      <c r="D8" s="18" t="inlineStr">
        <is>
          <t>明盒</t>
        </is>
      </c>
      <c r="E8" s="19" t="n">
        <v>100</v>
      </c>
      <c r="F8" s="19" t="n">
        <v>69</v>
      </c>
    </row>
    <row r="9">
      <c r="A9" s="20" t="inlineStr">
        <is>
          <t>SKU-006</t>
        </is>
      </c>
      <c r="B9" s="20" t="inlineStr">
        <is>
          <t>OPEN-BC-04</t>
        </is>
      </c>
      <c r="C9" s="8" t="inlineStr">
        <is>
          <t>BabyCat明盒·奶牛猫（奶牛猫）</t>
        </is>
      </c>
      <c r="D9" s="20" t="inlineStr">
        <is>
          <t>明盒</t>
        </is>
      </c>
      <c r="E9" s="21" t="n">
        <v>100</v>
      </c>
      <c r="F9" s="21" t="n">
        <v>69</v>
      </c>
    </row>
    <row r="10">
      <c r="A10" s="18" t="inlineStr">
        <is>
          <t>SKU-007</t>
        </is>
      </c>
      <c r="B10" s="18" t="inlineStr">
        <is>
          <t>OPEN-BC-05</t>
        </is>
      </c>
      <c r="C10" s="6" t="inlineStr">
        <is>
          <t>BabyCat明盒·波斯猫（波斯猫）</t>
        </is>
      </c>
      <c r="D10" s="18" t="inlineStr">
        <is>
          <t>明盒</t>
        </is>
      </c>
      <c r="E10" s="19" t="n">
        <v>100</v>
      </c>
      <c r="F10" s="19" t="n">
        <v>69</v>
      </c>
    </row>
    <row r="11">
      <c r="A11" s="20" t="inlineStr">
        <is>
          <t>SKU-008</t>
        </is>
      </c>
      <c r="B11" s="20" t="inlineStr">
        <is>
          <t>OPEN-BC-06</t>
        </is>
      </c>
      <c r="C11" s="8" t="inlineStr">
        <is>
          <t>BabyCat明盒·软萌夹锁（德文卷毛）</t>
        </is>
      </c>
      <c r="D11" s="20" t="inlineStr">
        <is>
          <t>明盒</t>
        </is>
      </c>
      <c r="E11" s="21" t="n">
        <v>100</v>
      </c>
      <c r="F11" s="21" t="n">
        <v>69</v>
      </c>
    </row>
    <row r="12">
      <c r="A12" s="18" t="inlineStr">
        <is>
          <t>SKU-009</t>
        </is>
      </c>
      <c r="B12" s="18" t="inlineStr">
        <is>
          <t>CP-01</t>
        </is>
      </c>
      <c r="C12" s="6" t="inlineStr">
        <is>
          <t>BabyCat CP对盒·橘影神偷×折耳骑士</t>
        </is>
      </c>
      <c r="D12" s="18" t="inlineStr">
        <is>
          <t>CP对盒</t>
        </is>
      </c>
      <c r="E12" s="19" t="n">
        <v>184</v>
      </c>
      <c r="F12" s="19" t="n">
        <v>138</v>
      </c>
    </row>
    <row r="13">
      <c r="A13" s="20" t="inlineStr">
        <is>
          <t>SKU-010</t>
        </is>
      </c>
      <c r="B13" s="20" t="inlineStr">
        <is>
          <t>CP-02</t>
        </is>
      </c>
      <c r="C13" s="8" t="inlineStr">
        <is>
          <t>BabyCat CP对盒·笨笨博士×软萌夹锁</t>
        </is>
      </c>
      <c r="D13" s="20" t="inlineStr">
        <is>
          <t>CP对盒</t>
        </is>
      </c>
      <c r="E13" s="21" t="n">
        <v>184</v>
      </c>
      <c r="F13" s="21" t="n">
        <v>138</v>
      </c>
    </row>
    <row r="14">
      <c r="A14" s="18" t="inlineStr">
        <is>
          <t>SKU-011</t>
        </is>
      </c>
      <c r="B14" s="18" t="inlineStr">
        <is>
          <t>CP-03</t>
        </is>
      </c>
      <c r="C14" s="6" t="inlineStr">
        <is>
          <t>BabyCat CP对盒·奶牛猫×波斯猫</t>
        </is>
      </c>
      <c r="D14" s="18" t="inlineStr">
        <is>
          <t>CP对盒</t>
        </is>
      </c>
      <c r="E14" s="19" t="n">
        <v>184</v>
      </c>
      <c r="F14" s="19" t="n">
        <v>138</v>
      </c>
    </row>
    <row r="15">
      <c r="A15" s="20" t="inlineStr">
        <is>
          <t>SKU-012</t>
        </is>
      </c>
      <c r="B15" s="20" t="inlineStr">
        <is>
          <t>ENDBOX</t>
        </is>
      </c>
      <c r="C15" s="8" t="inlineStr">
        <is>
          <t>BabyCat端盒（6只不重复·常规款全套）</t>
        </is>
      </c>
      <c r="D15" s="20" t="inlineStr">
        <is>
          <t>端盒</t>
        </is>
      </c>
      <c r="E15" s="21" t="n">
        <v>546</v>
      </c>
      <c r="F15" s="21" t="n">
        <v>414</v>
      </c>
    </row>
    <row r="16">
      <c r="A16" s="18" t="inlineStr">
        <is>
          <t>SKU-013</t>
        </is>
      </c>
      <c r="B16" s="18" t="inlineStr">
        <is>
          <t>ALLIN</t>
        </is>
      </c>
      <c r="C16" s="6" t="inlineStr">
        <is>
          <t>BabyCat ALL-IN套装（6常规+2隐藏）</t>
        </is>
      </c>
      <c r="D16" s="18" t="inlineStr">
        <is>
          <t>套装</t>
        </is>
      </c>
      <c r="E16" s="19" t="n">
        <v>680</v>
      </c>
      <c r="F16" s="19" t="n">
        <v>520</v>
      </c>
    </row>
    <row r="17">
      <c r="A17" s="20" t="inlineStr">
        <is>
          <t>SKU-014</t>
        </is>
      </c>
      <c r="B17" s="20" t="inlineStr">
        <is>
          <t>LIMIT-01</t>
        </is>
      </c>
      <c r="C17" s="8" t="inlineStr">
        <is>
          <t>BabyCat冬季吊卡（限量1000个·济南快闪首发）</t>
        </is>
      </c>
      <c r="D17" s="20" t="inlineStr">
        <is>
          <t>限量款</t>
        </is>
      </c>
      <c r="E17" s="21" t="n">
        <v>129</v>
      </c>
      <c r="F17" s="21" t="n">
        <v>89</v>
      </c>
    </row>
    <row r="18">
      <c r="A18" s="18" t="inlineStr">
        <is>
          <t>SKU-015</t>
        </is>
      </c>
      <c r="B18" s="18" t="inlineStr">
        <is>
          <t>ACC-01</t>
        </is>
      </c>
      <c r="C18" s="6" t="inlineStr">
        <is>
          <t>BabyCat毛绒挂件·橘影神偷</t>
        </is>
      </c>
      <c r="D18" s="18" t="inlineStr">
        <is>
          <t>挂件</t>
        </is>
      </c>
      <c r="E18" s="19" t="n">
        <v>39</v>
      </c>
      <c r="F18" s="19" t="n">
        <v>18</v>
      </c>
    </row>
    <row r="19">
      <c r="A19" s="20" t="inlineStr">
        <is>
          <t>SKU-016</t>
        </is>
      </c>
      <c r="B19" s="20" t="inlineStr">
        <is>
          <t>ACC-02</t>
        </is>
      </c>
      <c r="C19" s="8" t="inlineStr">
        <is>
          <t>BabyCat亚克力立牌·BabyCat全家福</t>
        </is>
      </c>
      <c r="D19" s="20" t="inlineStr">
        <is>
          <t>立牌</t>
        </is>
      </c>
      <c r="E19" s="21" t="n">
        <v>49</v>
      </c>
      <c r="F19" s="21" t="n">
        <v>22</v>
      </c>
    </row>
    <row r="20">
      <c r="A20" s="18" t="inlineStr">
        <is>
          <t>SKU-017</t>
        </is>
      </c>
      <c r="B20" s="18" t="inlineStr">
        <is>
          <t>ACC-03</t>
        </is>
      </c>
      <c r="C20" s="6" t="inlineStr">
        <is>
          <t>BabyCat徽章套装（6枚）</t>
        </is>
      </c>
      <c r="D20" s="18" t="inlineStr">
        <is>
          <t>徽章</t>
        </is>
      </c>
      <c r="E20" s="19" t="n">
        <v>69</v>
      </c>
      <c r="F20" s="19" t="n">
        <v>30</v>
      </c>
    </row>
    <row r="21">
      <c r="A21" s="20" t="inlineStr">
        <is>
          <t>SKU-018</t>
        </is>
      </c>
      <c r="B21" s="20" t="inlineStr">
        <is>
          <t>ACC-04</t>
        </is>
      </c>
      <c r="C21" s="8" t="inlineStr">
        <is>
          <t>BabyCat摇摇乐钥匙扣·折耳骑士</t>
        </is>
      </c>
      <c r="D21" s="20" t="inlineStr">
        <is>
          <t>钥匙扣</t>
        </is>
      </c>
      <c r="E21" s="21" t="n">
        <v>29</v>
      </c>
      <c r="F21" s="21" t="n">
        <v>12</v>
      </c>
    </row>
    <row r="22">
      <c r="A22" s="18" t="inlineStr">
        <is>
          <t>SKU-019</t>
        </is>
      </c>
      <c r="B22" s="18" t="inlineStr">
        <is>
          <t>ACC-05</t>
        </is>
      </c>
      <c r="C22" s="6" t="inlineStr">
        <is>
          <t>BabyCatBabyCat帆布袋</t>
        </is>
      </c>
      <c r="D22" s="18" t="inlineStr">
        <is>
          <t>帆布袋</t>
        </is>
      </c>
      <c r="E22" s="19" t="n">
        <v>59</v>
      </c>
      <c r="F22" s="19" t="n">
        <v>25</v>
      </c>
    </row>
    <row r="23">
      <c r="A23" s="20" t="inlineStr">
        <is>
          <t>SKU-020</t>
        </is>
      </c>
      <c r="B23" s="20" t="inlineStr">
        <is>
          <t>ACC-06</t>
        </is>
      </c>
      <c r="C23" s="8" t="inlineStr">
        <is>
          <t>BabyCat贴纸套装</t>
        </is>
      </c>
      <c r="D23" s="20" t="inlineStr">
        <is>
          <t>贴纸</t>
        </is>
      </c>
      <c r="E23" s="21" t="n">
        <v>19</v>
      </c>
      <c r="F23" s="21" t="n">
        <v>6</v>
      </c>
    </row>
    <row r="24">
      <c r="A24" s="18" t="inlineStr">
        <is>
          <t>SKU-021</t>
        </is>
      </c>
      <c r="B24" s="18" t="inlineStr">
        <is>
          <t>ACC-07</t>
        </is>
      </c>
      <c r="C24" s="6" t="inlineStr">
        <is>
          <t>BabyCatBabyCat手机壳（iPhone款）</t>
        </is>
      </c>
      <c r="D24" s="18" t="inlineStr">
        <is>
          <t>手机壳</t>
        </is>
      </c>
      <c r="E24" s="19" t="n">
        <v>49</v>
      </c>
      <c r="F24" s="19" t="n">
        <v>20</v>
      </c>
    </row>
    <row r="25">
      <c r="A25" s="20" t="inlineStr">
        <is>
          <t>SKU-022</t>
        </is>
      </c>
      <c r="B25" s="20" t="inlineStr">
        <is>
          <t>ACC-08</t>
        </is>
      </c>
      <c r="C25" s="8" t="inlineStr">
        <is>
          <t>BabyCatBabyCat冰箱贴（4枚装）</t>
        </is>
      </c>
      <c r="D25" s="20" t="inlineStr">
        <is>
          <t>冰箱贴</t>
        </is>
      </c>
      <c r="E25" s="21" t="n">
        <v>39</v>
      </c>
      <c r="F25" s="21" t="n">
        <v>14</v>
      </c>
    </row>
    <row r="26">
      <c r="A26" s="18" t="inlineStr">
        <is>
          <t>SKU-023</t>
        </is>
      </c>
      <c r="B26" s="18" t="inlineStr">
        <is>
          <t>ACC-09</t>
        </is>
      </c>
      <c r="C26" s="6" t="inlineStr">
        <is>
          <t>BabyCatBabyCat明信片套装</t>
        </is>
      </c>
      <c r="D26" s="18" t="inlineStr">
        <is>
          <t>明信片</t>
        </is>
      </c>
      <c r="E26" s="19" t="n">
        <v>29</v>
      </c>
      <c r="F26" s="19" t="n">
        <v>8</v>
      </c>
    </row>
    <row r="27">
      <c r="A27" s="20" t="inlineStr">
        <is>
          <t>SKU-024</t>
        </is>
      </c>
      <c r="B27" s="20" t="inlineStr">
        <is>
          <t>ACC-10</t>
        </is>
      </c>
      <c r="C27" s="8" t="inlineStr">
        <is>
          <t>BabyCatBabyCat毛绒抱枕（30cm）</t>
        </is>
      </c>
      <c r="D27" s="20" t="inlineStr">
        <is>
          <t>抱枕</t>
        </is>
      </c>
      <c r="E27" s="21" t="n">
        <v>99</v>
      </c>
      <c r="F27" s="21" t="n">
        <v>45</v>
      </c>
    </row>
  </sheetData>
  <autoFilter ref="A3:F27"/>
  <mergeCells count="2">
    <mergeCell ref="A1:F1"/>
    <mergeCell ref="A2:F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3.5" customWidth="1" min="2" max="2"/>
    <col width="23.85" customWidth="1" min="3" max="3"/>
    <col width="23.85" customWidth="1" min="4" max="4"/>
    <col width="11.2" customWidth="1" min="5" max="5"/>
    <col width="13.5" customWidth="1" min="6" max="6"/>
    <col width="23.85" customWidth="1" min="7" max="7"/>
    <col width="13.5" customWidth="1" min="8" max="8"/>
    <col width="54.9" customWidth="1" min="9" max="9"/>
  </cols>
  <sheetData>
    <row r="1" ht="30" customHeight="1">
      <c r="A1" s="16" t="inlineStr">
        <is>
          <t>👩‍🎨 艺术家主数据（8 位）</t>
        </is>
      </c>
    </row>
    <row r="2" ht="18" customHeight="1">
      <c r="A2" s="17" t="inlineStr">
        <is>
          <t>预计月版税 = 2026年5-7月关联SKU销售实收月均 × 分成比例（静态测算；正式计提见『🎨 艺术家版税结算』）。</t>
        </is>
      </c>
    </row>
    <row r="3">
      <c r="A3" s="5" t="inlineStr">
        <is>
          <t>艺术家编码</t>
        </is>
      </c>
      <c r="B3" s="5" t="inlineStr">
        <is>
          <t>艺术家姓名</t>
        </is>
      </c>
      <c r="C3" s="5" t="inlineStr">
        <is>
          <t>身份类型</t>
        </is>
      </c>
      <c r="D3" s="5" t="inlineStr">
        <is>
          <t>关联SKU</t>
        </is>
      </c>
      <c r="E3" s="5" t="inlineStr">
        <is>
          <t>分成比例</t>
        </is>
      </c>
      <c r="F3" s="5" t="inlineStr">
        <is>
          <t>结算方式</t>
        </is>
      </c>
      <c r="G3" s="5" t="inlineStr">
        <is>
          <t>当期销售实收(5-7月)</t>
        </is>
      </c>
      <c r="H3" s="5" t="inlineStr">
        <is>
          <t>预计月版税</t>
        </is>
      </c>
      <c r="I3" s="5" t="inlineStr">
        <is>
          <t>备注</t>
        </is>
      </c>
    </row>
    <row r="4" ht="30" customHeight="1">
      <c r="A4" s="18" t="inlineStr">
        <is>
          <t>AR-001</t>
        </is>
      </c>
      <c r="B4" s="6" t="inlineStr">
        <is>
          <t>林小喵</t>
        </is>
      </c>
      <c r="C4" s="6" t="inlineStr">
        <is>
          <t>独立潮玩设计师</t>
        </is>
      </c>
      <c r="D4" s="6" t="inlineStr">
        <is>
          <t>BC-01,BC-07</t>
        </is>
      </c>
      <c r="E4" s="22" t="n">
        <v>0.08</v>
      </c>
      <c r="F4" s="6" t="inlineStr">
        <is>
          <t>销售后结算</t>
        </is>
      </c>
      <c r="G4" s="19" t="n">
        <v>13580</v>
      </c>
      <c r="H4" s="19" t="n">
        <v>362.13</v>
      </c>
      <c r="I4" s="6" t="inlineStr">
        <is>
          <t>BC-07 隐藏款随盲盒/套装随机出货，无独立销售规格，建议按套盒分摊口径另行测算</t>
        </is>
      </c>
    </row>
    <row r="5" ht="30" customHeight="1">
      <c r="A5" s="20" t="inlineStr">
        <is>
          <t>AR-002</t>
        </is>
      </c>
      <c r="B5" s="8" t="inlineStr">
        <is>
          <t>陈卷卷</t>
        </is>
      </c>
      <c r="C5" s="8" t="inlineStr">
        <is>
          <t>自由插画师</t>
        </is>
      </c>
      <c r="D5" s="8" t="inlineStr">
        <is>
          <t>BC-02</t>
        </is>
      </c>
      <c r="E5" s="23" t="n">
        <v>0.07000000000000001</v>
      </c>
      <c r="F5" s="8" t="inlineStr">
        <is>
          <t>销售后结算</t>
        </is>
      </c>
      <c r="G5" s="21" t="n">
        <v>0</v>
      </c>
      <c r="H5" s="21" t="n">
        <v>0</v>
      </c>
      <c r="I5" s="8" t="inlineStr">
        <is>
          <t>BC-02 当期无对应销售规格</t>
        </is>
      </c>
    </row>
    <row r="6" ht="30" customHeight="1">
      <c r="A6" s="18" t="inlineStr">
        <is>
          <t>AR-003</t>
        </is>
      </c>
      <c r="B6" s="6" t="inlineStr">
        <is>
          <t>周布布</t>
        </is>
      </c>
      <c r="C6" s="6" t="inlineStr">
        <is>
          <t>猫主题IP创作者</t>
        </is>
      </c>
      <c r="D6" s="6" t="inlineStr">
        <is>
          <t>BC-03,BC-06</t>
        </is>
      </c>
      <c r="E6" s="22" t="n">
        <v>0.08</v>
      </c>
      <c r="F6" s="6" t="inlineStr">
        <is>
          <t>销售后结算</t>
        </is>
      </c>
      <c r="G6" s="19" t="n">
        <v>16250</v>
      </c>
      <c r="H6" s="19" t="n">
        <v>433.33</v>
      </c>
      <c r="I6" s="6" t="inlineStr">
        <is>
          <t>BC-06 当期无对应销售规格</t>
        </is>
      </c>
    </row>
    <row r="7" ht="30" customHeight="1">
      <c r="A7" s="20" t="inlineStr">
        <is>
          <t>AR-004</t>
        </is>
      </c>
      <c r="B7" s="8" t="inlineStr">
        <is>
          <t>刘星野</t>
        </is>
      </c>
      <c r="C7" s="8" t="inlineStr">
        <is>
          <t>新锐玩具设计师</t>
        </is>
      </c>
      <c r="D7" s="8" t="inlineStr">
        <is>
          <t>BC-04,BC-05</t>
        </is>
      </c>
      <c r="E7" s="23" t="n">
        <v>0.07000000000000001</v>
      </c>
      <c r="F7" s="8" t="inlineStr">
        <is>
          <t>销售后结算</t>
        </is>
      </c>
      <c r="G7" s="21" t="n">
        <v>0</v>
      </c>
      <c r="H7" s="21" t="n">
        <v>0</v>
      </c>
      <c r="I7" s="8" t="inlineStr">
        <is>
          <t>BC-04 当期无对应销售规格；BC-05 当期无对应销售规格</t>
        </is>
      </c>
    </row>
    <row r="8" ht="30" customHeight="1">
      <c r="A8" s="18" t="inlineStr">
        <is>
          <t>AR-005</t>
        </is>
      </c>
      <c r="B8" s="6" t="inlineStr">
        <is>
          <t>赵小喵</t>
        </is>
      </c>
      <c r="C8" s="6" t="inlineStr">
        <is>
          <t>小红书潮玩博主</t>
        </is>
      </c>
      <c r="D8" s="6" t="inlineStr">
        <is>
          <t>BC-08</t>
        </is>
      </c>
      <c r="E8" s="22" t="n">
        <v>0.1</v>
      </c>
      <c r="F8" s="6" t="inlineStr">
        <is>
          <t>预付+结算</t>
        </is>
      </c>
      <c r="G8" s="19" t="n">
        <v>0</v>
      </c>
      <c r="H8" s="19" t="n">
        <v>0</v>
      </c>
      <c r="I8" s="6" t="inlineStr">
        <is>
          <t>BC-08 隐藏款随盲盒/套装随机出货，无独立销售规格，建议按套盒分摊口径另行测算</t>
        </is>
      </c>
    </row>
    <row r="9" ht="30" customHeight="1">
      <c r="A9" s="20" t="inlineStr">
        <is>
          <t>AR-006</t>
        </is>
      </c>
      <c r="B9" s="8" t="inlineStr">
        <is>
          <t>黄多多</t>
        </is>
      </c>
      <c r="C9" s="8" t="inlineStr">
        <is>
          <t>在校艺术生/草根画手</t>
        </is>
      </c>
      <c r="D9" s="8" t="inlineStr">
        <is>
          <t>BC-ACC-01,BC-ACC-02</t>
        </is>
      </c>
      <c r="E9" s="23" t="n">
        <v>0.06</v>
      </c>
      <c r="F9" s="8" t="inlineStr">
        <is>
          <t>销售后结算</t>
        </is>
      </c>
      <c r="G9" s="21" t="n">
        <v>20855</v>
      </c>
      <c r="H9" s="21" t="n">
        <v>417.1</v>
      </c>
      <c r="I9" s="8" t="inlineStr">
        <is>
          <t>BC-ACC-01 与销售规格 ACC-01 编码不一致（疑缺BC前缀），本期按映射计入，建议与艺术家确认口径；BC-ACC-02 与销售规格 ACC-02 编码不一致（疑缺BC前缀），本期按映射计入，建议与艺术家确认口径</t>
        </is>
      </c>
    </row>
    <row r="10" ht="30" customHeight="1">
      <c r="A10" s="18" t="inlineStr">
        <is>
          <t>AR-007</t>
        </is>
      </c>
      <c r="B10" s="6" t="inlineStr">
        <is>
          <t>何梦鹿</t>
        </is>
      </c>
      <c r="C10" s="6" t="inlineStr">
        <is>
          <t>自由职业插画师</t>
        </is>
      </c>
      <c r="D10" s="6" t="inlineStr">
        <is>
          <t>BC-ACC-03,BC-ACC-04</t>
        </is>
      </c>
      <c r="E10" s="22" t="n">
        <v>0.06</v>
      </c>
      <c r="F10" s="6" t="inlineStr">
        <is>
          <t>销售后结算</t>
        </is>
      </c>
      <c r="G10" s="19" t="n">
        <v>11600</v>
      </c>
      <c r="H10" s="19" t="n">
        <v>232</v>
      </c>
      <c r="I10" s="6" t="inlineStr">
        <is>
          <t>BC-ACC-03 当期无对应销售规格；BC-ACC-04 与销售规格 ACC-04 编码不一致（疑缺BC前缀），本期按映射计入，建议与艺术家确认口径</t>
        </is>
      </c>
    </row>
    <row r="11" ht="30" customHeight="1">
      <c r="A11" s="20" t="inlineStr">
        <is>
          <t>AR-008</t>
        </is>
      </c>
      <c r="B11" s="8" t="inlineStr">
        <is>
          <t>杨桃桃</t>
        </is>
      </c>
      <c r="C11" s="8" t="inlineStr">
        <is>
          <t>纹身师兼玩具涂装师</t>
        </is>
      </c>
      <c r="D11" s="8" t="inlineStr">
        <is>
          <t>BC-ACC-05,BC-ACC-06</t>
        </is>
      </c>
      <c r="E11" s="23" t="n">
        <v>0.06</v>
      </c>
      <c r="F11" s="8" t="inlineStr">
        <is>
          <t>销售后结算</t>
        </is>
      </c>
      <c r="G11" s="21" t="n">
        <v>9215</v>
      </c>
      <c r="H11" s="21" t="n">
        <v>184.3</v>
      </c>
      <c r="I11" s="8" t="inlineStr">
        <is>
          <t>BC-ACC-05 当期无对应销售规格；BC-ACC-06 与销售规格 ACC-06 编码不一致（疑缺BC前缀），本期按映射计入，建议与艺术家确认口径</t>
        </is>
      </c>
    </row>
  </sheetData>
  <autoFilter ref="A3:I11"/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O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25" customWidth="1" min="1" max="1"/>
    <col width="13.5" customWidth="1" min="2" max="2"/>
    <col width="13.5" customWidth="1" min="3" max="3"/>
    <col width="41.09999999999999" customWidth="1" min="4" max="4"/>
    <col width="13.5" customWidth="1" min="5" max="5"/>
    <col width="48" customWidth="1" min="6" max="6"/>
    <col width="8" customWidth="1" min="7" max="7"/>
    <col width="8" customWidth="1" min="8" max="8"/>
    <col width="11.2" customWidth="1" min="9" max="9"/>
    <col width="8.899999999999999" customWidth="1" min="10" max="10"/>
    <col width="11.2" customWidth="1" min="11" max="11"/>
    <col width="11.2" customWidth="1" min="12" max="12"/>
    <col width="13.5" customWidth="1" min="13" max="13"/>
    <col width="13.5" customWidth="1" min="14" max="14"/>
    <col width="36.5" customWidth="1" min="15" max="15"/>
  </cols>
  <sheetData>
    <row r="1" ht="30" customHeight="1">
      <c r="A1" s="16" t="inlineStr">
        <is>
          <t>📦 销售出库单（45 笔，含退货冲销）</t>
        </is>
      </c>
    </row>
    <row r="2" ht="18" customHeight="1">
      <c r="A2" s="17" t="inlineStr">
        <is>
          <t>实收金额 = 金额 × 折扣率；到期日 = 开单日期 + 账期天数；红色行 = 负数（退货冲销）。</t>
        </is>
      </c>
    </row>
    <row r="3">
      <c r="A3" s="5" t="inlineStr">
        <is>
          <t>销售单号</t>
        </is>
      </c>
      <c r="B3" s="5" t="inlineStr">
        <is>
          <t>开单日期</t>
        </is>
      </c>
      <c r="C3" s="5" t="inlineStr">
        <is>
          <t>经销商编码</t>
        </is>
      </c>
      <c r="D3" s="5" t="inlineStr">
        <is>
          <t>经销商名称</t>
        </is>
      </c>
      <c r="E3" s="5" t="inlineStr">
        <is>
          <t>SKU编码</t>
        </is>
      </c>
      <c r="F3" s="5" t="inlineStr">
        <is>
          <t>商品名称</t>
        </is>
      </c>
      <c r="G3" s="5" t="inlineStr">
        <is>
          <t>数量</t>
        </is>
      </c>
      <c r="H3" s="5" t="inlineStr">
        <is>
          <t>单价</t>
        </is>
      </c>
      <c r="I3" s="5" t="inlineStr">
        <is>
          <t>金额</t>
        </is>
      </c>
      <c r="J3" s="5" t="inlineStr">
        <is>
          <t>折扣率</t>
        </is>
      </c>
      <c r="K3" s="5" t="inlineStr">
        <is>
          <t>实收金额</t>
        </is>
      </c>
      <c r="L3" s="5" t="inlineStr">
        <is>
          <t>账期天数</t>
        </is>
      </c>
      <c r="M3" s="5" t="inlineStr">
        <is>
          <t>到期日</t>
        </is>
      </c>
      <c r="N3" s="5" t="inlineStr">
        <is>
          <t>批次类型</t>
        </is>
      </c>
      <c r="O3" s="5" t="inlineStr">
        <is>
          <t>备注</t>
        </is>
      </c>
    </row>
    <row r="4">
      <c r="A4" s="18" t="inlineStr">
        <is>
          <t>SO-20260510-001</t>
        </is>
      </c>
      <c r="B4" s="24" t="n">
        <v>46152</v>
      </c>
      <c r="C4" s="18" t="inlineStr">
        <is>
          <t>DE-001</t>
        </is>
      </c>
      <c r="D4" s="6" t="inlineStr">
        <is>
          <t>名创优品（广州）有限责任公司</t>
        </is>
      </c>
      <c r="E4" s="6" t="inlineStr">
        <is>
          <t>BLIND-02</t>
        </is>
      </c>
      <c r="F4" s="6" t="inlineStr">
        <is>
          <t>BabyCat随机单盒（盲盒常规）</t>
        </is>
      </c>
      <c r="G4" s="25" t="n">
        <v>200</v>
      </c>
      <c r="H4" s="19" t="n">
        <v>95</v>
      </c>
      <c r="I4" s="19" t="n">
        <v>19000</v>
      </c>
      <c r="J4" s="26" t="n">
        <v>0.97</v>
      </c>
      <c r="K4" s="19" t="n">
        <v>18430</v>
      </c>
      <c r="L4" s="25" t="n">
        <v>45</v>
      </c>
      <c r="M4" s="24" t="n">
        <v>46197</v>
      </c>
      <c r="N4" s="18" t="inlineStr">
        <is>
          <t>首单试产</t>
        </is>
      </c>
      <c r="O4" s="6" t="inlineStr">
        <is>
          <t>BabyCat首轮铺货试产</t>
        </is>
      </c>
    </row>
    <row r="5">
      <c r="A5" s="20" t="inlineStr">
        <is>
          <t>SO-20260510-002</t>
        </is>
      </c>
      <c r="B5" s="27" t="n">
        <v>46152</v>
      </c>
      <c r="C5" s="20" t="inlineStr">
        <is>
          <t>DE-001</t>
        </is>
      </c>
      <c r="D5" s="8" t="inlineStr">
        <is>
          <t>名创优品（广州）有限责任公司</t>
        </is>
      </c>
      <c r="E5" s="8" t="inlineStr">
        <is>
          <t>ENDBOX</t>
        </is>
      </c>
      <c r="F5" s="8" t="inlineStr">
        <is>
          <t>BabyCat端盒（6只不重复·常规款全套）</t>
        </is>
      </c>
      <c r="G5" s="28" t="n">
        <v>100</v>
      </c>
      <c r="H5" s="21" t="n">
        <v>546</v>
      </c>
      <c r="I5" s="21" t="n">
        <v>54600</v>
      </c>
      <c r="J5" s="29" t="n">
        <v>0.97</v>
      </c>
      <c r="K5" s="21" t="n">
        <v>52962</v>
      </c>
      <c r="L5" s="28" t="n">
        <v>45</v>
      </c>
      <c r="M5" s="27" t="n">
        <v>46197</v>
      </c>
      <c r="N5" s="20" t="inlineStr">
        <is>
          <t>首单试产</t>
        </is>
      </c>
      <c r="O5" s="8" t="inlineStr">
        <is>
          <t>端盒同步试产</t>
        </is>
      </c>
    </row>
    <row r="6">
      <c r="A6" s="18" t="inlineStr">
        <is>
          <t>SO-20260510-003</t>
        </is>
      </c>
      <c r="B6" s="24" t="n">
        <v>46152</v>
      </c>
      <c r="C6" s="18" t="inlineStr">
        <is>
          <t>DE-001</t>
        </is>
      </c>
      <c r="D6" s="6" t="inlineStr">
        <is>
          <t>名创优品（广州）有限责任公司</t>
        </is>
      </c>
      <c r="E6" s="6" t="inlineStr">
        <is>
          <t>OPEN-BC-01</t>
        </is>
      </c>
      <c r="F6" s="6" t="inlineStr">
        <is>
          <t>BabyCat明盒·橘影神偷（橘猫）</t>
        </is>
      </c>
      <c r="G6" s="25" t="n">
        <v>60</v>
      </c>
      <c r="H6" s="19" t="n">
        <v>100</v>
      </c>
      <c r="I6" s="19" t="n">
        <v>6000</v>
      </c>
      <c r="J6" s="26" t="n">
        <v>0.97</v>
      </c>
      <c r="K6" s="19" t="n">
        <v>5820</v>
      </c>
      <c r="L6" s="25" t="n">
        <v>45</v>
      </c>
      <c r="M6" s="24" t="n">
        <v>46197</v>
      </c>
      <c r="N6" s="18" t="inlineStr">
        <is>
          <t>首单试产</t>
        </is>
      </c>
      <c r="O6" s="6" t="inlineStr"/>
    </row>
    <row r="7">
      <c r="A7" s="20" t="inlineStr">
        <is>
          <t>SO-20260605-004</t>
        </is>
      </c>
      <c r="B7" s="27" t="n">
        <v>46178</v>
      </c>
      <c r="C7" s="20" t="inlineStr">
        <is>
          <t>DE-001</t>
        </is>
      </c>
      <c r="D7" s="8" t="inlineStr">
        <is>
          <t>名创优品（广州）有限责任公司</t>
        </is>
      </c>
      <c r="E7" s="8" t="inlineStr">
        <is>
          <t>BLIND-02</t>
        </is>
      </c>
      <c r="F7" s="8" t="inlineStr">
        <is>
          <t>BabyCat随机单盒（盲盒常规）</t>
        </is>
      </c>
      <c r="G7" s="28" t="n">
        <v>500</v>
      </c>
      <c r="H7" s="21" t="n">
        <v>95</v>
      </c>
      <c r="I7" s="21" t="n">
        <v>47500</v>
      </c>
      <c r="J7" s="29" t="n">
        <v>0.97</v>
      </c>
      <c r="K7" s="21" t="n">
        <v>46075</v>
      </c>
      <c r="L7" s="28" t="n">
        <v>45</v>
      </c>
      <c r="M7" s="27" t="n">
        <v>46223</v>
      </c>
      <c r="N7" s="20" t="inlineStr">
        <is>
          <t>快反追单</t>
        </is>
      </c>
      <c r="O7" s="8" t="inlineStr">
        <is>
          <t>销售超预期→追单（场景1a）</t>
        </is>
      </c>
    </row>
    <row r="8">
      <c r="A8" s="18" t="inlineStr">
        <is>
          <t>SO-20260605-005</t>
        </is>
      </c>
      <c r="B8" s="24" t="n">
        <v>46178</v>
      </c>
      <c r="C8" s="18" t="inlineStr">
        <is>
          <t>DE-001</t>
        </is>
      </c>
      <c r="D8" s="6" t="inlineStr">
        <is>
          <t>名创优品（广州）有限责任公司</t>
        </is>
      </c>
      <c r="E8" s="6" t="inlineStr">
        <is>
          <t>ENDBOX</t>
        </is>
      </c>
      <c r="F8" s="6" t="inlineStr">
        <is>
          <t>BabyCat端盒（6只不重复·常规款全套）</t>
        </is>
      </c>
      <c r="G8" s="25" t="n">
        <v>200</v>
      </c>
      <c r="H8" s="19" t="n">
        <v>546</v>
      </c>
      <c r="I8" s="19" t="n">
        <v>109200</v>
      </c>
      <c r="J8" s="26" t="n">
        <v>0.97</v>
      </c>
      <c r="K8" s="19" t="n">
        <v>105924</v>
      </c>
      <c r="L8" s="25" t="n">
        <v>45</v>
      </c>
      <c r="M8" s="24" t="n">
        <v>46223</v>
      </c>
      <c r="N8" s="18" t="inlineStr">
        <is>
          <t>快反追单</t>
        </is>
      </c>
      <c r="O8" s="6" t="inlineStr">
        <is>
          <t>端盒追单（场景1b）</t>
        </is>
      </c>
    </row>
    <row r="9">
      <c r="A9" s="20" t="inlineStr">
        <is>
          <t>SO-20260605-006</t>
        </is>
      </c>
      <c r="B9" s="27" t="n">
        <v>46178</v>
      </c>
      <c r="C9" s="20" t="inlineStr">
        <is>
          <t>DE-001</t>
        </is>
      </c>
      <c r="D9" s="8" t="inlineStr">
        <is>
          <t>名创优品（广州）有限责任公司</t>
        </is>
      </c>
      <c r="E9" s="8" t="inlineStr">
        <is>
          <t>ACC-01</t>
        </is>
      </c>
      <c r="F9" s="8" t="inlineStr">
        <is>
          <t>BabyCat毛绒挂件·橘影神偷</t>
        </is>
      </c>
      <c r="G9" s="28" t="n">
        <v>300</v>
      </c>
      <c r="H9" s="21" t="n">
        <v>39</v>
      </c>
      <c r="I9" s="21" t="n">
        <v>11700</v>
      </c>
      <c r="J9" s="29" t="n">
        <v>0.97</v>
      </c>
      <c r="K9" s="21" t="n">
        <v>11349</v>
      </c>
      <c r="L9" s="28" t="n">
        <v>45</v>
      </c>
      <c r="M9" s="27" t="n">
        <v>46223</v>
      </c>
      <c r="N9" s="20" t="inlineStr">
        <is>
          <t>快反追单</t>
        </is>
      </c>
      <c r="O9" s="8" t="inlineStr">
        <is>
          <t>挂件追单（场景1c）</t>
        </is>
      </c>
    </row>
    <row r="10">
      <c r="A10" s="18" t="inlineStr">
        <is>
          <t>SO-20260708-007</t>
        </is>
      </c>
      <c r="B10" s="24" t="n">
        <v>46211</v>
      </c>
      <c r="C10" s="18" t="inlineStr">
        <is>
          <t>DE-001</t>
        </is>
      </c>
      <c r="D10" s="6" t="inlineStr">
        <is>
          <t>名创优品（广州）有限责任公司</t>
        </is>
      </c>
      <c r="E10" s="6" t="inlineStr">
        <is>
          <t>BLIND-02</t>
        </is>
      </c>
      <c r="F10" s="6" t="inlineStr">
        <is>
          <t>BabyCat随机单盒（盲盒常规）</t>
        </is>
      </c>
      <c r="G10" s="25" t="n">
        <v>800</v>
      </c>
      <c r="H10" s="19" t="n">
        <v>95</v>
      </c>
      <c r="I10" s="19" t="n">
        <v>76000</v>
      </c>
      <c r="J10" s="26" t="n">
        <v>0.95</v>
      </c>
      <c r="K10" s="19" t="n">
        <v>72200</v>
      </c>
      <c r="L10" s="25" t="n">
        <v>45</v>
      </c>
      <c r="M10" s="24" t="n">
        <v>46256</v>
      </c>
      <c r="N10" s="18" t="inlineStr">
        <is>
          <t>二次追单</t>
        </is>
      </c>
      <c r="O10" s="6" t="inlineStr">
        <is>
          <t>暑期促销追单</t>
        </is>
      </c>
    </row>
    <row r="11">
      <c r="A11" s="20" t="inlineStr">
        <is>
          <t>SO-20260708-008</t>
        </is>
      </c>
      <c r="B11" s="27" t="n">
        <v>46211</v>
      </c>
      <c r="C11" s="20" t="inlineStr">
        <is>
          <t>DE-001</t>
        </is>
      </c>
      <c r="D11" s="8" t="inlineStr">
        <is>
          <t>名创优品（广州）有限责任公司</t>
        </is>
      </c>
      <c r="E11" s="8" t="inlineStr">
        <is>
          <t>OPEN-BC-03</t>
        </is>
      </c>
      <c r="F11" s="8" t="inlineStr">
        <is>
          <t>BabyCat明盒·笨笨博士（布偶猫）</t>
        </is>
      </c>
      <c r="G11" s="28" t="n">
        <v>120</v>
      </c>
      <c r="H11" s="21" t="n">
        <v>100</v>
      </c>
      <c r="I11" s="21" t="n">
        <v>12000</v>
      </c>
      <c r="J11" s="29" t="n">
        <v>0.95</v>
      </c>
      <c r="K11" s="21" t="n">
        <v>11400</v>
      </c>
      <c r="L11" s="28" t="n">
        <v>45</v>
      </c>
      <c r="M11" s="27" t="n">
        <v>46256</v>
      </c>
      <c r="N11" s="20" t="inlineStr">
        <is>
          <t>二次追单</t>
        </is>
      </c>
      <c r="O11" s="8" t="inlineStr"/>
    </row>
    <row r="12">
      <c r="A12" s="18" t="inlineStr">
        <is>
          <t>SO-20260515-009</t>
        </is>
      </c>
      <c r="B12" s="24" t="n">
        <v>46157</v>
      </c>
      <c r="C12" s="18" t="inlineStr">
        <is>
          <t>DE-002</t>
        </is>
      </c>
      <c r="D12" s="6" t="inlineStr">
        <is>
          <t>酷乐潮玩（北京）贸易有限公司</t>
        </is>
      </c>
      <c r="E12" s="6" t="inlineStr">
        <is>
          <t>BLIND-01</t>
        </is>
      </c>
      <c r="F12" s="6" t="inlineStr">
        <is>
          <t>BabyCat随机单盒（盲盒早鸟）</t>
        </is>
      </c>
      <c r="G12" s="25" t="n">
        <v>150</v>
      </c>
      <c r="H12" s="19" t="n">
        <v>89</v>
      </c>
      <c r="I12" s="19" t="n">
        <v>13350</v>
      </c>
      <c r="J12" s="26" t="n">
        <v>0.97</v>
      </c>
      <c r="K12" s="19" t="n">
        <v>12949.5</v>
      </c>
      <c r="L12" s="25" t="n">
        <v>30</v>
      </c>
      <c r="M12" s="24" t="n">
        <v>46187</v>
      </c>
      <c r="N12" s="18" t="inlineStr">
        <is>
          <t>首单试产</t>
        </is>
      </c>
      <c r="O12" s="6" t="inlineStr"/>
    </row>
    <row r="13">
      <c r="A13" s="20" t="inlineStr">
        <is>
          <t>SO-20260515-010</t>
        </is>
      </c>
      <c r="B13" s="27" t="n">
        <v>46157</v>
      </c>
      <c r="C13" s="20" t="inlineStr">
        <is>
          <t>DE-002</t>
        </is>
      </c>
      <c r="D13" s="8" t="inlineStr">
        <is>
          <t>酷乐潮玩（北京）贸易有限公司</t>
        </is>
      </c>
      <c r="E13" s="8" t="inlineStr">
        <is>
          <t>ENDBOX</t>
        </is>
      </c>
      <c r="F13" s="8" t="inlineStr">
        <is>
          <t>BabyCat端盒（6只不重复·常规款全套）</t>
        </is>
      </c>
      <c r="G13" s="28" t="n">
        <v>80</v>
      </c>
      <c r="H13" s="21" t="n">
        <v>546</v>
      </c>
      <c r="I13" s="21" t="n">
        <v>43680</v>
      </c>
      <c r="J13" s="29" t="n">
        <v>0.97</v>
      </c>
      <c r="K13" s="21" t="n">
        <v>42369.6</v>
      </c>
      <c r="L13" s="28" t="n">
        <v>30</v>
      </c>
      <c r="M13" s="27" t="n">
        <v>46187</v>
      </c>
      <c r="N13" s="20" t="inlineStr">
        <is>
          <t>首单试产</t>
        </is>
      </c>
      <c r="O13" s="8" t="inlineStr"/>
    </row>
    <row r="14">
      <c r="A14" s="18" t="inlineStr">
        <is>
          <t>SO-20260612-011</t>
        </is>
      </c>
      <c r="B14" s="24" t="n">
        <v>46185</v>
      </c>
      <c r="C14" s="18" t="inlineStr">
        <is>
          <t>DE-002</t>
        </is>
      </c>
      <c r="D14" s="6" t="inlineStr">
        <is>
          <t>酷乐潮玩（北京）贸易有限公司</t>
        </is>
      </c>
      <c r="E14" s="6" t="inlineStr">
        <is>
          <t>BLIND-02</t>
        </is>
      </c>
      <c r="F14" s="6" t="inlineStr">
        <is>
          <t>BabyCat随机单盒（盲盒常规）</t>
        </is>
      </c>
      <c r="G14" s="25" t="n">
        <v>400</v>
      </c>
      <c r="H14" s="19" t="n">
        <v>95</v>
      </c>
      <c r="I14" s="19" t="n">
        <v>38000</v>
      </c>
      <c r="J14" s="26" t="n">
        <v>0.97</v>
      </c>
      <c r="K14" s="19" t="n">
        <v>36860</v>
      </c>
      <c r="L14" s="25" t="n">
        <v>30</v>
      </c>
      <c r="M14" s="24" t="n">
        <v>46215</v>
      </c>
      <c r="N14" s="18" t="inlineStr">
        <is>
          <t>快反追单</t>
        </is>
      </c>
      <c r="O14" s="6" t="inlineStr"/>
    </row>
    <row r="15">
      <c r="A15" s="20" t="inlineStr">
        <is>
          <t>SO-20260612-012</t>
        </is>
      </c>
      <c r="B15" s="27" t="n">
        <v>46185</v>
      </c>
      <c r="C15" s="20" t="inlineStr">
        <is>
          <t>DE-002</t>
        </is>
      </c>
      <c r="D15" s="8" t="inlineStr">
        <is>
          <t>酷乐潮玩（北京）贸易有限公司</t>
        </is>
      </c>
      <c r="E15" s="8" t="inlineStr">
        <is>
          <t>OPEN-BC-01</t>
        </is>
      </c>
      <c r="F15" s="8" t="inlineStr">
        <is>
          <t>BabyCat明盒·橘影神偷（橘猫）</t>
        </is>
      </c>
      <c r="G15" s="28" t="n">
        <v>80</v>
      </c>
      <c r="H15" s="21" t="n">
        <v>100</v>
      </c>
      <c r="I15" s="21" t="n">
        <v>8000</v>
      </c>
      <c r="J15" s="29" t="n">
        <v>0.97</v>
      </c>
      <c r="K15" s="21" t="n">
        <v>7760</v>
      </c>
      <c r="L15" s="28" t="n">
        <v>30</v>
      </c>
      <c r="M15" s="27" t="n">
        <v>46215</v>
      </c>
      <c r="N15" s="20" t="inlineStr">
        <is>
          <t>快反追单</t>
        </is>
      </c>
      <c r="O15" s="8" t="inlineStr"/>
    </row>
    <row r="16">
      <c r="A16" s="18" t="inlineStr">
        <is>
          <t>SO-20260710-013</t>
        </is>
      </c>
      <c r="B16" s="24" t="n">
        <v>46213</v>
      </c>
      <c r="C16" s="18" t="inlineStr">
        <is>
          <t>DE-002</t>
        </is>
      </c>
      <c r="D16" s="6" t="inlineStr">
        <is>
          <t>酷乐潮玩（北京）贸易有限公司</t>
        </is>
      </c>
      <c r="E16" s="6" t="inlineStr">
        <is>
          <t>BLIND-02</t>
        </is>
      </c>
      <c r="F16" s="6" t="inlineStr">
        <is>
          <t>BabyCat随机单盒（盲盒常规）</t>
        </is>
      </c>
      <c r="G16" s="25" t="n">
        <v>600</v>
      </c>
      <c r="H16" s="19" t="n">
        <v>95</v>
      </c>
      <c r="I16" s="19" t="n">
        <v>57000</v>
      </c>
      <c r="J16" s="26" t="n">
        <v>0.95</v>
      </c>
      <c r="K16" s="19" t="n">
        <v>54150</v>
      </c>
      <c r="L16" s="25" t="n">
        <v>30</v>
      </c>
      <c r="M16" s="24" t="n">
        <v>46243</v>
      </c>
      <c r="N16" s="18" t="inlineStr">
        <is>
          <t>二次追单</t>
        </is>
      </c>
      <c r="O16" s="6" t="inlineStr"/>
    </row>
    <row r="17">
      <c r="A17" s="20" t="inlineStr">
        <is>
          <t>SO-20260520-014</t>
        </is>
      </c>
      <c r="B17" s="27" t="n">
        <v>46162</v>
      </c>
      <c r="C17" s="20" t="inlineStr">
        <is>
          <t>DE-003</t>
        </is>
      </c>
      <c r="D17" s="8" t="inlineStr">
        <is>
          <t>TOPTOY（广州）文化发展有限公司</t>
        </is>
      </c>
      <c r="E17" s="8" t="inlineStr">
        <is>
          <t>BLIND-01</t>
        </is>
      </c>
      <c r="F17" s="8" t="inlineStr">
        <is>
          <t>BabyCat随机单盒（盲盒早鸟）</t>
        </is>
      </c>
      <c r="G17" s="28" t="n">
        <v>200</v>
      </c>
      <c r="H17" s="21" t="n">
        <v>89</v>
      </c>
      <c r="I17" s="21" t="n">
        <v>17800</v>
      </c>
      <c r="J17" s="29" t="n">
        <v>0.97</v>
      </c>
      <c r="K17" s="21" t="n">
        <v>17266</v>
      </c>
      <c r="L17" s="28" t="n">
        <v>45</v>
      </c>
      <c r="M17" s="27" t="n">
        <v>46207</v>
      </c>
      <c r="N17" s="20" t="inlineStr">
        <is>
          <t>首单试产</t>
        </is>
      </c>
      <c r="O17" s="8" t="inlineStr"/>
    </row>
    <row r="18">
      <c r="A18" s="18" t="inlineStr">
        <is>
          <t>SO-20260520-015</t>
        </is>
      </c>
      <c r="B18" s="24" t="n">
        <v>46162</v>
      </c>
      <c r="C18" s="18" t="inlineStr">
        <is>
          <t>DE-003</t>
        </is>
      </c>
      <c r="D18" s="6" t="inlineStr">
        <is>
          <t>TOPTOY（广州）文化发展有限公司</t>
        </is>
      </c>
      <c r="E18" s="6" t="inlineStr">
        <is>
          <t>ENDBOX</t>
        </is>
      </c>
      <c r="F18" s="6" t="inlineStr">
        <is>
          <t>BabyCat端盒（6只不重复·常规款全套）</t>
        </is>
      </c>
      <c r="G18" s="25" t="n">
        <v>100</v>
      </c>
      <c r="H18" s="19" t="n">
        <v>546</v>
      </c>
      <c r="I18" s="19" t="n">
        <v>54600</v>
      </c>
      <c r="J18" s="26" t="n">
        <v>0.97</v>
      </c>
      <c r="K18" s="19" t="n">
        <v>52962</v>
      </c>
      <c r="L18" s="25" t="n">
        <v>45</v>
      </c>
      <c r="M18" s="24" t="n">
        <v>46207</v>
      </c>
      <c r="N18" s="18" t="inlineStr">
        <is>
          <t>首单试产</t>
        </is>
      </c>
      <c r="O18" s="6" t="inlineStr"/>
    </row>
    <row r="19">
      <c r="A19" s="20" t="inlineStr">
        <is>
          <t>SO-20260618-016</t>
        </is>
      </c>
      <c r="B19" s="27" t="n">
        <v>46191</v>
      </c>
      <c r="C19" s="20" t="inlineStr">
        <is>
          <t>DE-003</t>
        </is>
      </c>
      <c r="D19" s="8" t="inlineStr">
        <is>
          <t>TOPTOY（广州）文化发展有限公司</t>
        </is>
      </c>
      <c r="E19" s="8" t="inlineStr">
        <is>
          <t>BLIND-02</t>
        </is>
      </c>
      <c r="F19" s="8" t="inlineStr">
        <is>
          <t>BabyCat随机单盒（盲盒常规）</t>
        </is>
      </c>
      <c r="G19" s="28" t="n">
        <v>500</v>
      </c>
      <c r="H19" s="21" t="n">
        <v>95</v>
      </c>
      <c r="I19" s="21" t="n">
        <v>47500</v>
      </c>
      <c r="J19" s="29" t="n">
        <v>0.97</v>
      </c>
      <c r="K19" s="21" t="n">
        <v>46075</v>
      </c>
      <c r="L19" s="28" t="n">
        <v>45</v>
      </c>
      <c r="M19" s="27" t="n">
        <v>46236</v>
      </c>
      <c r="N19" s="20" t="inlineStr">
        <is>
          <t>快反追单</t>
        </is>
      </c>
      <c r="O19" s="8" t="inlineStr"/>
    </row>
    <row r="20">
      <c r="A20" s="18" t="inlineStr">
        <is>
          <t>SO-20260618-017</t>
        </is>
      </c>
      <c r="B20" s="24" t="n">
        <v>46191</v>
      </c>
      <c r="C20" s="18" t="inlineStr">
        <is>
          <t>DE-003</t>
        </is>
      </c>
      <c r="D20" s="6" t="inlineStr">
        <is>
          <t>TOPTOY（广州）文化发展有限公司</t>
        </is>
      </c>
      <c r="E20" s="6" t="inlineStr">
        <is>
          <t>ENDBOX</t>
        </is>
      </c>
      <c r="F20" s="6" t="inlineStr">
        <is>
          <t>BabyCat端盒（6只不重复·常规款全套）</t>
        </is>
      </c>
      <c r="G20" s="25" t="n">
        <v>250</v>
      </c>
      <c r="H20" s="19" t="n">
        <v>546</v>
      </c>
      <c r="I20" s="19" t="n">
        <v>136500</v>
      </c>
      <c r="J20" s="26" t="n">
        <v>0.97</v>
      </c>
      <c r="K20" s="19" t="n">
        <v>132405</v>
      </c>
      <c r="L20" s="25" t="n">
        <v>45</v>
      </c>
      <c r="M20" s="24" t="n">
        <v>46236</v>
      </c>
      <c r="N20" s="18" t="inlineStr">
        <is>
          <t>快反追单</t>
        </is>
      </c>
      <c r="O20" s="6" t="inlineStr"/>
    </row>
    <row r="21">
      <c r="A21" s="20" t="inlineStr">
        <is>
          <t>SO-20260715-018</t>
        </is>
      </c>
      <c r="B21" s="27" t="n">
        <v>46218</v>
      </c>
      <c r="C21" s="20" t="inlineStr">
        <is>
          <t>DE-003</t>
        </is>
      </c>
      <c r="D21" s="8" t="inlineStr">
        <is>
          <t>TOPTOY（广州）文化发展有限公司</t>
        </is>
      </c>
      <c r="E21" s="8" t="inlineStr">
        <is>
          <t>BLIND-02</t>
        </is>
      </c>
      <c r="F21" s="8" t="inlineStr">
        <is>
          <t>BabyCat随机单盒（盲盒常规）</t>
        </is>
      </c>
      <c r="G21" s="28" t="n">
        <v>700</v>
      </c>
      <c r="H21" s="21" t="n">
        <v>95</v>
      </c>
      <c r="I21" s="21" t="n">
        <v>66500</v>
      </c>
      <c r="J21" s="29" t="n">
        <v>0.95</v>
      </c>
      <c r="K21" s="21" t="n">
        <v>63175</v>
      </c>
      <c r="L21" s="28" t="n">
        <v>45</v>
      </c>
      <c r="M21" s="27" t="n">
        <v>46263</v>
      </c>
      <c r="N21" s="20" t="inlineStr">
        <is>
          <t>二次追单</t>
        </is>
      </c>
      <c r="O21" s="8" t="inlineStr"/>
    </row>
    <row r="22">
      <c r="A22" s="18" t="inlineStr">
        <is>
          <t>SO-20260508-019</t>
        </is>
      </c>
      <c r="B22" s="24" t="n">
        <v>46150</v>
      </c>
      <c r="C22" s="18" t="inlineStr">
        <is>
          <t>DE-004</t>
        </is>
      </c>
      <c r="D22" s="6" t="inlineStr">
        <is>
          <t>广州KK馆贸易有限公司</t>
        </is>
      </c>
      <c r="E22" s="6" t="inlineStr">
        <is>
          <t>BLIND-01</t>
        </is>
      </c>
      <c r="F22" s="6" t="inlineStr">
        <is>
          <t>BabyCat随机单盒（盲盒早鸟）</t>
        </is>
      </c>
      <c r="G22" s="25" t="n">
        <v>100</v>
      </c>
      <c r="H22" s="19" t="n">
        <v>89</v>
      </c>
      <c r="I22" s="19" t="n">
        <v>8900</v>
      </c>
      <c r="J22" s="26" t="n">
        <v>0.97</v>
      </c>
      <c r="K22" s="19" t="n">
        <v>8633</v>
      </c>
      <c r="L22" s="25" t="n">
        <v>30</v>
      </c>
      <c r="M22" s="24" t="n">
        <v>46180</v>
      </c>
      <c r="N22" s="18" t="inlineStr">
        <is>
          <t>首单试产</t>
        </is>
      </c>
      <c r="O22" s="6" t="inlineStr"/>
    </row>
    <row r="23">
      <c r="A23" s="20" t="inlineStr">
        <is>
          <t>SO-20260610-020</t>
        </is>
      </c>
      <c r="B23" s="27" t="n">
        <v>46183</v>
      </c>
      <c r="C23" s="20" t="inlineStr">
        <is>
          <t>DE-004</t>
        </is>
      </c>
      <c r="D23" s="8" t="inlineStr">
        <is>
          <t>广州KK馆贸易有限公司</t>
        </is>
      </c>
      <c r="E23" s="8" t="inlineStr">
        <is>
          <t>BLIND-02</t>
        </is>
      </c>
      <c r="F23" s="8" t="inlineStr">
        <is>
          <t>BabyCat随机单盒（盲盒常规）</t>
        </is>
      </c>
      <c r="G23" s="28" t="n">
        <v>300</v>
      </c>
      <c r="H23" s="21" t="n">
        <v>95</v>
      </c>
      <c r="I23" s="21" t="n">
        <v>28500</v>
      </c>
      <c r="J23" s="29" t="n">
        <v>0.97</v>
      </c>
      <c r="K23" s="21" t="n">
        <v>27645</v>
      </c>
      <c r="L23" s="28" t="n">
        <v>30</v>
      </c>
      <c r="M23" s="27" t="n">
        <v>46213</v>
      </c>
      <c r="N23" s="20" t="inlineStr">
        <is>
          <t>快反追单</t>
        </is>
      </c>
      <c r="O23" s="8" t="inlineStr"/>
    </row>
    <row r="24">
      <c r="A24" s="18" t="inlineStr">
        <is>
          <t>SO-20260610-021</t>
        </is>
      </c>
      <c r="B24" s="24" t="n">
        <v>46183</v>
      </c>
      <c r="C24" s="18" t="inlineStr">
        <is>
          <t>DE-004</t>
        </is>
      </c>
      <c r="D24" s="6" t="inlineStr">
        <is>
          <t>广州KK馆贸易有限公司</t>
        </is>
      </c>
      <c r="E24" s="6" t="inlineStr">
        <is>
          <t>ACC-02</t>
        </is>
      </c>
      <c r="F24" s="6" t="inlineStr">
        <is>
          <t>BabyCat亚克力立牌·BabyCat全家福</t>
        </is>
      </c>
      <c r="G24" s="25" t="n">
        <v>200</v>
      </c>
      <c r="H24" s="19" t="n">
        <v>49</v>
      </c>
      <c r="I24" s="19" t="n">
        <v>9800</v>
      </c>
      <c r="J24" s="26" t="n">
        <v>0.97</v>
      </c>
      <c r="K24" s="19" t="n">
        <v>9506</v>
      </c>
      <c r="L24" s="25" t="n">
        <v>30</v>
      </c>
      <c r="M24" s="24" t="n">
        <v>46213</v>
      </c>
      <c r="N24" s="18" t="inlineStr">
        <is>
          <t>快反追单</t>
        </is>
      </c>
      <c r="O24" s="6" t="inlineStr"/>
    </row>
    <row r="25">
      <c r="A25" s="30" t="inlineStr">
        <is>
          <t>SO-20260705-022</t>
        </is>
      </c>
      <c r="B25" s="31" t="n">
        <v>46208</v>
      </c>
      <c r="C25" s="30" t="inlineStr">
        <is>
          <t>DE-004</t>
        </is>
      </c>
      <c r="D25" s="32" t="inlineStr">
        <is>
          <t>广州KK馆贸易有限公司</t>
        </is>
      </c>
      <c r="E25" s="32" t="inlineStr">
        <is>
          <t>BLIND-02</t>
        </is>
      </c>
      <c r="F25" s="32" t="inlineStr">
        <is>
          <t>BabyCat随机单盒（盲盒常规）</t>
        </is>
      </c>
      <c r="G25" s="33" t="n">
        <v>-30</v>
      </c>
      <c r="H25" s="34" t="n">
        <v>95</v>
      </c>
      <c r="I25" s="34" t="n">
        <v>-2850</v>
      </c>
      <c r="J25" s="35" t="n">
        <v>1</v>
      </c>
      <c r="K25" s="34" t="n">
        <v>-2850</v>
      </c>
      <c r="L25" s="33" t="n">
        <v>30</v>
      </c>
      <c r="M25" s="31" t="n">
        <v>46238</v>
      </c>
      <c r="N25" s="30" t="inlineStr">
        <is>
          <t>退货冲销</t>
        </is>
      </c>
      <c r="O25" s="32" t="inlineStr">
        <is>
          <t>品质问题退货（场景8）</t>
        </is>
      </c>
    </row>
    <row r="26">
      <c r="A26" s="18" t="inlineStr">
        <is>
          <t>SO-20260705-023</t>
        </is>
      </c>
      <c r="B26" s="24" t="n">
        <v>46208</v>
      </c>
      <c r="C26" s="18" t="inlineStr">
        <is>
          <t>DE-004</t>
        </is>
      </c>
      <c r="D26" s="6" t="inlineStr">
        <is>
          <t>广州KK馆贸易有限公司</t>
        </is>
      </c>
      <c r="E26" s="6" t="inlineStr">
        <is>
          <t>BLIND-02</t>
        </is>
      </c>
      <c r="F26" s="6" t="inlineStr">
        <is>
          <t>BabyCat随机单盒（盲盒常规）</t>
        </is>
      </c>
      <c r="G26" s="25" t="n">
        <v>160</v>
      </c>
      <c r="H26" s="19" t="n">
        <v>95</v>
      </c>
      <c r="I26" s="19" t="n">
        <v>15200</v>
      </c>
      <c r="J26" s="26" t="n">
        <v>0.95</v>
      </c>
      <c r="K26" s="19" t="n">
        <v>14440</v>
      </c>
      <c r="L26" s="25" t="n">
        <v>30</v>
      </c>
      <c r="M26" s="24" t="n">
        <v>46238</v>
      </c>
      <c r="N26" s="18" t="inlineStr">
        <is>
          <t>常规补货</t>
        </is>
      </c>
      <c r="O26" s="6" t="inlineStr"/>
    </row>
    <row r="27">
      <c r="A27" s="20" t="inlineStr">
        <is>
          <t>SO-20260512-024</t>
        </is>
      </c>
      <c r="B27" s="27" t="n">
        <v>46154</v>
      </c>
      <c r="C27" s="20" t="inlineStr">
        <is>
          <t>DE-005</t>
        </is>
      </c>
      <c r="D27" s="8" t="inlineStr">
        <is>
          <t>上海晨光文具股份有限公司（九木杂物社）</t>
        </is>
      </c>
      <c r="E27" s="8" t="inlineStr">
        <is>
          <t>BLIND-01</t>
        </is>
      </c>
      <c r="F27" s="8" t="inlineStr">
        <is>
          <t>BabyCat随机单盒（盲盒早鸟）</t>
        </is>
      </c>
      <c r="G27" s="28" t="n">
        <v>80</v>
      </c>
      <c r="H27" s="21" t="n">
        <v>89</v>
      </c>
      <c r="I27" s="21" t="n">
        <v>7120</v>
      </c>
      <c r="J27" s="29" t="n">
        <v>0.97</v>
      </c>
      <c r="K27" s="21" t="n">
        <v>6906.4</v>
      </c>
      <c r="L27" s="28" t="n">
        <v>60</v>
      </c>
      <c r="M27" s="27" t="n">
        <v>46214</v>
      </c>
      <c r="N27" s="20" t="inlineStr">
        <is>
          <t>首单试产</t>
        </is>
      </c>
      <c r="O27" s="8" t="inlineStr"/>
    </row>
    <row r="28">
      <c r="A28" s="18" t="inlineStr">
        <is>
          <t>SO-20260512-025</t>
        </is>
      </c>
      <c r="B28" s="24" t="n">
        <v>46154</v>
      </c>
      <c r="C28" s="18" t="inlineStr">
        <is>
          <t>DE-005</t>
        </is>
      </c>
      <c r="D28" s="6" t="inlineStr">
        <is>
          <t>上海晨光文具股份有限公司（九木杂物社）</t>
        </is>
      </c>
      <c r="E28" s="6" t="inlineStr">
        <is>
          <t>ENDBOX</t>
        </is>
      </c>
      <c r="F28" s="6" t="inlineStr">
        <is>
          <t>BabyCat端盒（6只不重复·常规款全套）</t>
        </is>
      </c>
      <c r="G28" s="25" t="n">
        <v>40</v>
      </c>
      <c r="H28" s="19" t="n">
        <v>546</v>
      </c>
      <c r="I28" s="19" t="n">
        <v>21840</v>
      </c>
      <c r="J28" s="26" t="n">
        <v>0.97</v>
      </c>
      <c r="K28" s="19" t="n">
        <v>21184.8</v>
      </c>
      <c r="L28" s="25" t="n">
        <v>60</v>
      </c>
      <c r="M28" s="24" t="n">
        <v>46214</v>
      </c>
      <c r="N28" s="18" t="inlineStr">
        <is>
          <t>首单试产</t>
        </is>
      </c>
      <c r="O28" s="6" t="inlineStr"/>
    </row>
    <row r="29">
      <c r="A29" s="20" t="inlineStr">
        <is>
          <t>SO-20260608-026</t>
        </is>
      </c>
      <c r="B29" s="27" t="n">
        <v>46181</v>
      </c>
      <c r="C29" s="20" t="inlineStr">
        <is>
          <t>DE-005</t>
        </is>
      </c>
      <c r="D29" s="8" t="inlineStr">
        <is>
          <t>上海晨光文具股份有限公司（九木杂物社）</t>
        </is>
      </c>
      <c r="E29" s="8" t="inlineStr">
        <is>
          <t>BLIND-02</t>
        </is>
      </c>
      <c r="F29" s="8" t="inlineStr">
        <is>
          <t>BabyCat随机单盒（盲盒常规）</t>
        </is>
      </c>
      <c r="G29" s="28" t="n">
        <v>250</v>
      </c>
      <c r="H29" s="21" t="n">
        <v>95</v>
      </c>
      <c r="I29" s="21" t="n">
        <v>23750</v>
      </c>
      <c r="J29" s="29" t="n">
        <v>0.97</v>
      </c>
      <c r="K29" s="21" t="n">
        <v>23037.5</v>
      </c>
      <c r="L29" s="28" t="n">
        <v>60</v>
      </c>
      <c r="M29" s="27" t="n">
        <v>46241</v>
      </c>
      <c r="N29" s="20" t="inlineStr">
        <is>
          <t>快反追单</t>
        </is>
      </c>
      <c r="O29" s="8" t="inlineStr"/>
    </row>
    <row r="30">
      <c r="A30" s="18" t="inlineStr">
        <is>
          <t>SO-20260608-027</t>
        </is>
      </c>
      <c r="B30" s="24" t="n">
        <v>46181</v>
      </c>
      <c r="C30" s="18" t="inlineStr">
        <is>
          <t>DE-005</t>
        </is>
      </c>
      <c r="D30" s="6" t="inlineStr">
        <is>
          <t>上海晨光文具股份有限公司（九木杂物社）</t>
        </is>
      </c>
      <c r="E30" s="6" t="inlineStr">
        <is>
          <t>OPEN-BC-03</t>
        </is>
      </c>
      <c r="F30" s="6" t="inlineStr">
        <is>
          <t>BabyCat明盒·笨笨博士（布偶猫）</t>
        </is>
      </c>
      <c r="G30" s="25" t="n">
        <v>50</v>
      </c>
      <c r="H30" s="19" t="n">
        <v>100</v>
      </c>
      <c r="I30" s="19" t="n">
        <v>5000</v>
      </c>
      <c r="J30" s="26" t="n">
        <v>0.97</v>
      </c>
      <c r="K30" s="19" t="n">
        <v>4850</v>
      </c>
      <c r="L30" s="25" t="n">
        <v>60</v>
      </c>
      <c r="M30" s="24" t="n">
        <v>46241</v>
      </c>
      <c r="N30" s="18" t="inlineStr">
        <is>
          <t>快反追单</t>
        </is>
      </c>
      <c r="O30" s="6" t="inlineStr"/>
    </row>
    <row r="31">
      <c r="A31" s="20" t="inlineStr">
        <is>
          <t>SO-20260505-028</t>
        </is>
      </c>
      <c r="B31" s="27" t="n">
        <v>46147</v>
      </c>
      <c r="C31" s="20" t="inlineStr">
        <is>
          <t>DE-006</t>
        </is>
      </c>
      <c r="D31" s="8" t="inlineStr">
        <is>
          <t>沃尔玛（中国）投资有限公司</t>
        </is>
      </c>
      <c r="E31" s="8" t="inlineStr">
        <is>
          <t>BLIND-02</t>
        </is>
      </c>
      <c r="F31" s="8" t="inlineStr">
        <is>
          <t>BabyCat随机单盒（盲盒常规）</t>
        </is>
      </c>
      <c r="G31" s="28" t="n">
        <v>200</v>
      </c>
      <c r="H31" s="21" t="n">
        <v>95</v>
      </c>
      <c r="I31" s="21" t="n">
        <v>19000</v>
      </c>
      <c r="J31" s="29" t="n">
        <v>0.95</v>
      </c>
      <c r="K31" s="21" t="n">
        <v>18050</v>
      </c>
      <c r="L31" s="28" t="n">
        <v>60</v>
      </c>
      <c r="M31" s="27" t="n">
        <v>46207</v>
      </c>
      <c r="N31" s="20" t="inlineStr">
        <is>
          <t>首单试产</t>
        </is>
      </c>
      <c r="O31" s="8" t="inlineStr"/>
    </row>
    <row r="32">
      <c r="A32" s="18" t="inlineStr">
        <is>
          <t>SO-20260505-029</t>
        </is>
      </c>
      <c r="B32" s="24" t="n">
        <v>46147</v>
      </c>
      <c r="C32" s="18" t="inlineStr">
        <is>
          <t>DE-006</t>
        </is>
      </c>
      <c r="D32" s="6" t="inlineStr">
        <is>
          <t>沃尔玛（中国）投资有限公司</t>
        </is>
      </c>
      <c r="E32" s="6" t="inlineStr">
        <is>
          <t>ENDBOX</t>
        </is>
      </c>
      <c r="F32" s="6" t="inlineStr">
        <is>
          <t>BabyCat端盒（6只不重复·常规款全套）</t>
        </is>
      </c>
      <c r="G32" s="25" t="n">
        <v>100</v>
      </c>
      <c r="H32" s="19" t="n">
        <v>546</v>
      </c>
      <c r="I32" s="19" t="n">
        <v>54600</v>
      </c>
      <c r="J32" s="26" t="n">
        <v>0.95</v>
      </c>
      <c r="K32" s="19" t="n">
        <v>51870</v>
      </c>
      <c r="L32" s="25" t="n">
        <v>60</v>
      </c>
      <c r="M32" s="24" t="n">
        <v>46207</v>
      </c>
      <c r="N32" s="18" t="inlineStr">
        <is>
          <t>首单试产</t>
        </is>
      </c>
      <c r="O32" s="6" t="inlineStr"/>
    </row>
    <row r="33">
      <c r="A33" s="20" t="inlineStr">
        <is>
          <t>SO-20260601-030</t>
        </is>
      </c>
      <c r="B33" s="27" t="n">
        <v>46174</v>
      </c>
      <c r="C33" s="20" t="inlineStr">
        <is>
          <t>DE-006</t>
        </is>
      </c>
      <c r="D33" s="8" t="inlineStr">
        <is>
          <t>沃尔玛（中国）投资有限公司</t>
        </is>
      </c>
      <c r="E33" s="8" t="inlineStr">
        <is>
          <t>BLIND-02</t>
        </is>
      </c>
      <c r="F33" s="8" t="inlineStr">
        <is>
          <t>BabyCat随机单盒（盲盒常规）</t>
        </is>
      </c>
      <c r="G33" s="28" t="n">
        <v>350</v>
      </c>
      <c r="H33" s="21" t="n">
        <v>95</v>
      </c>
      <c r="I33" s="21" t="n">
        <v>33250</v>
      </c>
      <c r="J33" s="29" t="n">
        <v>0.95</v>
      </c>
      <c r="K33" s="21" t="n">
        <v>31587.5</v>
      </c>
      <c r="L33" s="28" t="n">
        <v>60</v>
      </c>
      <c r="M33" s="27" t="n">
        <v>46234</v>
      </c>
      <c r="N33" s="20" t="inlineStr">
        <is>
          <t>快反追单</t>
        </is>
      </c>
      <c r="O33" s="8" t="inlineStr"/>
    </row>
    <row r="34">
      <c r="A34" s="18" t="inlineStr">
        <is>
          <t>SO-20260518-031</t>
        </is>
      </c>
      <c r="B34" s="24" t="n">
        <v>46160</v>
      </c>
      <c r="C34" s="18" t="inlineStr">
        <is>
          <t>DE-007</t>
        </is>
      </c>
      <c r="D34" s="6" t="inlineStr">
        <is>
          <t>抖音电商（官方旗舰店）</t>
        </is>
      </c>
      <c r="E34" s="6" t="inlineStr">
        <is>
          <t>BLIND-02</t>
        </is>
      </c>
      <c r="F34" s="6" t="inlineStr">
        <is>
          <t>BabyCat随机单盒（盲盒常规）</t>
        </is>
      </c>
      <c r="G34" s="25" t="n">
        <v>300</v>
      </c>
      <c r="H34" s="19" t="n">
        <v>95</v>
      </c>
      <c r="I34" s="19" t="n">
        <v>28500</v>
      </c>
      <c r="J34" s="26" t="n">
        <v>1</v>
      </c>
      <c r="K34" s="19" t="n">
        <v>28500</v>
      </c>
      <c r="L34" s="25" t="n">
        <v>15</v>
      </c>
      <c r="M34" s="24" t="n">
        <v>46175</v>
      </c>
      <c r="N34" s="18" t="inlineStr">
        <is>
          <t>平台铺货</t>
        </is>
      </c>
      <c r="O34" s="6" t="inlineStr"/>
    </row>
    <row r="35">
      <c r="A35" s="20" t="inlineStr">
        <is>
          <t>SO-20260518-032</t>
        </is>
      </c>
      <c r="B35" s="27" t="n">
        <v>46160</v>
      </c>
      <c r="C35" s="20" t="inlineStr">
        <is>
          <t>DE-007</t>
        </is>
      </c>
      <c r="D35" s="8" t="inlineStr">
        <is>
          <t>抖音电商（官方旗舰店）</t>
        </is>
      </c>
      <c r="E35" s="8" t="inlineStr">
        <is>
          <t>ALLIN</t>
        </is>
      </c>
      <c r="F35" s="8" t="inlineStr">
        <is>
          <t>BabyCat ALL-IN套装（6常规+2隐藏）</t>
        </is>
      </c>
      <c r="G35" s="28" t="n">
        <v>50</v>
      </c>
      <c r="H35" s="21" t="n">
        <v>680</v>
      </c>
      <c r="I35" s="21" t="n">
        <v>34000</v>
      </c>
      <c r="J35" s="29" t="n">
        <v>1</v>
      </c>
      <c r="K35" s="21" t="n">
        <v>34000</v>
      </c>
      <c r="L35" s="28" t="n">
        <v>15</v>
      </c>
      <c r="M35" s="27" t="n">
        <v>46175</v>
      </c>
      <c r="N35" s="20" t="inlineStr">
        <is>
          <t>平台铺货</t>
        </is>
      </c>
      <c r="O35" s="8" t="inlineStr"/>
    </row>
    <row r="36">
      <c r="A36" s="18" t="inlineStr">
        <is>
          <t>SO-20260620-033</t>
        </is>
      </c>
      <c r="B36" s="24" t="n">
        <v>46193</v>
      </c>
      <c r="C36" s="18" t="inlineStr">
        <is>
          <t>DE-007</t>
        </is>
      </c>
      <c r="D36" s="6" t="inlineStr">
        <is>
          <t>抖音电商（官方旗舰店）</t>
        </is>
      </c>
      <c r="E36" s="6" t="inlineStr">
        <is>
          <t>BLIND-02</t>
        </is>
      </c>
      <c r="F36" s="6" t="inlineStr">
        <is>
          <t>BabyCat随机单盒（盲盒常规）</t>
        </is>
      </c>
      <c r="G36" s="25" t="n">
        <v>500</v>
      </c>
      <c r="H36" s="19" t="n">
        <v>95</v>
      </c>
      <c r="I36" s="19" t="n">
        <v>47500</v>
      </c>
      <c r="J36" s="26" t="n">
        <v>1</v>
      </c>
      <c r="K36" s="19" t="n">
        <v>47500</v>
      </c>
      <c r="L36" s="25" t="n">
        <v>15</v>
      </c>
      <c r="M36" s="24" t="n">
        <v>46208</v>
      </c>
      <c r="N36" s="18" t="inlineStr">
        <is>
          <t>快反追单</t>
        </is>
      </c>
      <c r="O36" s="6" t="inlineStr"/>
    </row>
    <row r="37">
      <c r="A37" s="20" t="inlineStr">
        <is>
          <t>SO-20260620-034</t>
        </is>
      </c>
      <c r="B37" s="27" t="n">
        <v>46193</v>
      </c>
      <c r="C37" s="20" t="inlineStr">
        <is>
          <t>DE-007</t>
        </is>
      </c>
      <c r="D37" s="8" t="inlineStr">
        <is>
          <t>抖音电商（官方旗舰店）</t>
        </is>
      </c>
      <c r="E37" s="8" t="inlineStr">
        <is>
          <t>ACC-04</t>
        </is>
      </c>
      <c r="F37" s="8" t="inlineStr">
        <is>
          <t>BabyCat摇摇乐钥匙扣·折耳骑士</t>
        </is>
      </c>
      <c r="G37" s="28" t="n">
        <v>400</v>
      </c>
      <c r="H37" s="21" t="n">
        <v>29</v>
      </c>
      <c r="I37" s="21" t="n">
        <v>11600</v>
      </c>
      <c r="J37" s="29" t="n">
        <v>1</v>
      </c>
      <c r="K37" s="21" t="n">
        <v>11600</v>
      </c>
      <c r="L37" s="28" t="n">
        <v>15</v>
      </c>
      <c r="M37" s="27" t="n">
        <v>46208</v>
      </c>
      <c r="N37" s="20" t="inlineStr">
        <is>
          <t>快反追单</t>
        </is>
      </c>
      <c r="O37" s="8" t="inlineStr"/>
    </row>
    <row r="38">
      <c r="A38" s="18" t="inlineStr">
        <is>
          <t>SO-20260601-035</t>
        </is>
      </c>
      <c r="B38" s="24" t="n">
        <v>46174</v>
      </c>
      <c r="C38" s="18" t="inlineStr">
        <is>
          <t>DE-008</t>
        </is>
      </c>
      <c r="D38" s="6" t="inlineStr">
        <is>
          <t>TikTok Shop（跨境）</t>
        </is>
      </c>
      <c r="E38" s="6" t="inlineStr">
        <is>
          <t>BLIND-02</t>
        </is>
      </c>
      <c r="F38" s="6" t="inlineStr">
        <is>
          <t>BabyCat随机单盒（盲盒常规）</t>
        </is>
      </c>
      <c r="G38" s="25" t="n">
        <v>200</v>
      </c>
      <c r="H38" s="19" t="n">
        <v>95</v>
      </c>
      <c r="I38" s="19" t="n">
        <v>19000</v>
      </c>
      <c r="J38" s="26" t="n">
        <v>1</v>
      </c>
      <c r="K38" s="19" t="n">
        <v>19000</v>
      </c>
      <c r="L38" s="25" t="n">
        <v>30</v>
      </c>
      <c r="M38" s="24" t="n">
        <v>46204</v>
      </c>
      <c r="N38" s="18" t="inlineStr">
        <is>
          <t>海外铺货</t>
        </is>
      </c>
      <c r="O38" s="6" t="inlineStr">
        <is>
          <t>TikTok Shop US</t>
        </is>
      </c>
    </row>
    <row r="39">
      <c r="A39" s="20" t="inlineStr">
        <is>
          <t>SO-20260601-036</t>
        </is>
      </c>
      <c r="B39" s="27" t="n">
        <v>46174</v>
      </c>
      <c r="C39" s="20" t="inlineStr">
        <is>
          <t>DE-008</t>
        </is>
      </c>
      <c r="D39" s="8" t="inlineStr">
        <is>
          <t>TikTok Shop（跨境）</t>
        </is>
      </c>
      <c r="E39" s="8" t="inlineStr">
        <is>
          <t>ALLIN</t>
        </is>
      </c>
      <c r="F39" s="8" t="inlineStr">
        <is>
          <t>BabyCat ALL-IN套装（6常规+2隐藏）</t>
        </is>
      </c>
      <c r="G39" s="28" t="n">
        <v>30</v>
      </c>
      <c r="H39" s="21" t="n">
        <v>680</v>
      </c>
      <c r="I39" s="21" t="n">
        <v>20400</v>
      </c>
      <c r="J39" s="29" t="n">
        <v>1</v>
      </c>
      <c r="K39" s="21" t="n">
        <v>20400</v>
      </c>
      <c r="L39" s="28" t="n">
        <v>30</v>
      </c>
      <c r="M39" s="27" t="n">
        <v>46204</v>
      </c>
      <c r="N39" s="20" t="inlineStr">
        <is>
          <t>海外铺货</t>
        </is>
      </c>
      <c r="O39" s="8" t="inlineStr"/>
    </row>
    <row r="40">
      <c r="A40" s="18" t="inlineStr">
        <is>
          <t>SO-20260701-037</t>
        </is>
      </c>
      <c r="B40" s="24" t="n">
        <v>46204</v>
      </c>
      <c r="C40" s="18" t="inlineStr">
        <is>
          <t>DE-008</t>
        </is>
      </c>
      <c r="D40" s="6" t="inlineStr">
        <is>
          <t>TikTok Shop（跨境）</t>
        </is>
      </c>
      <c r="E40" s="6" t="inlineStr">
        <is>
          <t>BLIND-02</t>
        </is>
      </c>
      <c r="F40" s="6" t="inlineStr">
        <is>
          <t>BabyCat随机单盒（盲盒常规）</t>
        </is>
      </c>
      <c r="G40" s="25" t="n">
        <v>350</v>
      </c>
      <c r="H40" s="19" t="n">
        <v>95</v>
      </c>
      <c r="I40" s="19" t="n">
        <v>33250</v>
      </c>
      <c r="J40" s="26" t="n">
        <v>1</v>
      </c>
      <c r="K40" s="19" t="n">
        <v>33250</v>
      </c>
      <c r="L40" s="25" t="n">
        <v>30</v>
      </c>
      <c r="M40" s="24" t="n">
        <v>46234</v>
      </c>
      <c r="N40" s="18" t="inlineStr">
        <is>
          <t>快反追单</t>
        </is>
      </c>
      <c r="O40" s="6" t="inlineStr">
        <is>
          <t>TikTok Shop US</t>
        </is>
      </c>
    </row>
    <row r="41">
      <c r="A41" s="20" t="inlineStr">
        <is>
          <t>SO-20260525-038</t>
        </is>
      </c>
      <c r="B41" s="27" t="n">
        <v>46167</v>
      </c>
      <c r="C41" s="20" t="inlineStr">
        <is>
          <t>DE-009</t>
        </is>
      </c>
      <c r="D41" s="8" t="inlineStr">
        <is>
          <t>广州潮玩前线贸易有限公司</t>
        </is>
      </c>
      <c r="E41" s="8" t="inlineStr">
        <is>
          <t>BLIND-02</t>
        </is>
      </c>
      <c r="F41" s="8" t="inlineStr">
        <is>
          <t>BabyCat随机单盒（盲盒常规）</t>
        </is>
      </c>
      <c r="G41" s="28" t="n">
        <v>120</v>
      </c>
      <c r="H41" s="21" t="n">
        <v>95</v>
      </c>
      <c r="I41" s="21" t="n">
        <v>11400</v>
      </c>
      <c r="J41" s="29" t="n">
        <v>0.97</v>
      </c>
      <c r="K41" s="21" t="n">
        <v>11058</v>
      </c>
      <c r="L41" s="28" t="n">
        <v>30</v>
      </c>
      <c r="M41" s="27" t="n">
        <v>46197</v>
      </c>
      <c r="N41" s="20" t="inlineStr">
        <is>
          <t>首单试产</t>
        </is>
      </c>
      <c r="O41" s="8" t="inlineStr"/>
    </row>
    <row r="42">
      <c r="A42" s="18" t="inlineStr">
        <is>
          <t>SO-20260525-039</t>
        </is>
      </c>
      <c r="B42" s="24" t="n">
        <v>46167</v>
      </c>
      <c r="C42" s="18" t="inlineStr">
        <is>
          <t>DE-009</t>
        </is>
      </c>
      <c r="D42" s="6" t="inlineStr">
        <is>
          <t>广州潮玩前线贸易有限公司</t>
        </is>
      </c>
      <c r="E42" s="6" t="inlineStr">
        <is>
          <t>ENDBOX</t>
        </is>
      </c>
      <c r="F42" s="6" t="inlineStr">
        <is>
          <t>BabyCat端盒（6只不重复·常规款全套）</t>
        </is>
      </c>
      <c r="G42" s="25" t="n">
        <v>50</v>
      </c>
      <c r="H42" s="19" t="n">
        <v>546</v>
      </c>
      <c r="I42" s="19" t="n">
        <v>27300</v>
      </c>
      <c r="J42" s="26" t="n">
        <v>0.97</v>
      </c>
      <c r="K42" s="19" t="n">
        <v>26481</v>
      </c>
      <c r="L42" s="25" t="n">
        <v>30</v>
      </c>
      <c r="M42" s="24" t="n">
        <v>46197</v>
      </c>
      <c r="N42" s="18" t="inlineStr">
        <is>
          <t>首单试产</t>
        </is>
      </c>
      <c r="O42" s="6" t="inlineStr"/>
    </row>
    <row r="43">
      <c r="A43" s="20" t="inlineStr">
        <is>
          <t>SO-20260625-040</t>
        </is>
      </c>
      <c r="B43" s="27" t="n">
        <v>46198</v>
      </c>
      <c r="C43" s="20" t="inlineStr">
        <is>
          <t>DE-009</t>
        </is>
      </c>
      <c r="D43" s="8" t="inlineStr">
        <is>
          <t>广州潮玩前线贸易有限公司</t>
        </is>
      </c>
      <c r="E43" s="8" t="inlineStr">
        <is>
          <t>BLIND-02</t>
        </is>
      </c>
      <c r="F43" s="8" t="inlineStr">
        <is>
          <t>BabyCat随机单盒（盲盒常规）</t>
        </is>
      </c>
      <c r="G43" s="28" t="n">
        <v>300</v>
      </c>
      <c r="H43" s="21" t="n">
        <v>95</v>
      </c>
      <c r="I43" s="21" t="n">
        <v>28500</v>
      </c>
      <c r="J43" s="29" t="n">
        <v>0.97</v>
      </c>
      <c r="K43" s="21" t="n">
        <v>27645</v>
      </c>
      <c r="L43" s="28" t="n">
        <v>30</v>
      </c>
      <c r="M43" s="27" t="n">
        <v>46228</v>
      </c>
      <c r="N43" s="20" t="inlineStr">
        <is>
          <t>快反追单</t>
        </is>
      </c>
      <c r="O43" s="8" t="inlineStr"/>
    </row>
    <row r="44">
      <c r="A44" s="18" t="inlineStr">
        <is>
          <t>SO-20260528-041</t>
        </is>
      </c>
      <c r="B44" s="24" t="n">
        <v>46170</v>
      </c>
      <c r="C44" s="18" t="inlineStr">
        <is>
          <t>DE-010</t>
        </is>
      </c>
      <c r="D44" s="6" t="inlineStr">
        <is>
          <t>义乌萌物集贸易有限公司</t>
        </is>
      </c>
      <c r="E44" s="6" t="inlineStr">
        <is>
          <t>BLIND-02</t>
        </is>
      </c>
      <c r="F44" s="6" t="inlineStr">
        <is>
          <t>BabyCat随机单盒（盲盒常规）</t>
        </is>
      </c>
      <c r="G44" s="25" t="n">
        <v>100</v>
      </c>
      <c r="H44" s="19" t="n">
        <v>95</v>
      </c>
      <c r="I44" s="19" t="n">
        <v>9500</v>
      </c>
      <c r="J44" s="26" t="n">
        <v>0.97</v>
      </c>
      <c r="K44" s="19" t="n">
        <v>9215</v>
      </c>
      <c r="L44" s="25" t="n">
        <v>30</v>
      </c>
      <c r="M44" s="24" t="n">
        <v>46200</v>
      </c>
      <c r="N44" s="18" t="inlineStr">
        <is>
          <t>首单试产</t>
        </is>
      </c>
      <c r="O44" s="6" t="inlineStr"/>
    </row>
    <row r="45">
      <c r="A45" s="20" t="inlineStr">
        <is>
          <t>SO-20260628-042</t>
        </is>
      </c>
      <c r="B45" s="27" t="n">
        <v>46201</v>
      </c>
      <c r="C45" s="20" t="inlineStr">
        <is>
          <t>DE-010</t>
        </is>
      </c>
      <c r="D45" s="8" t="inlineStr">
        <is>
          <t>义乌萌物集贸易有限公司</t>
        </is>
      </c>
      <c r="E45" s="8" t="inlineStr">
        <is>
          <t>BLIND-02</t>
        </is>
      </c>
      <c r="F45" s="8" t="inlineStr">
        <is>
          <t>BabyCat随机单盒（盲盒常规）</t>
        </is>
      </c>
      <c r="G45" s="28" t="n">
        <v>250</v>
      </c>
      <c r="H45" s="21" t="n">
        <v>95</v>
      </c>
      <c r="I45" s="21" t="n">
        <v>23750</v>
      </c>
      <c r="J45" s="29" t="n">
        <v>0.97</v>
      </c>
      <c r="K45" s="21" t="n">
        <v>23037.5</v>
      </c>
      <c r="L45" s="28" t="n">
        <v>30</v>
      </c>
      <c r="M45" s="27" t="n">
        <v>46231</v>
      </c>
      <c r="N45" s="20" t="inlineStr">
        <is>
          <t>快反追单</t>
        </is>
      </c>
      <c r="O45" s="8" t="inlineStr"/>
    </row>
    <row r="46">
      <c r="A46" s="18" t="inlineStr">
        <is>
          <t>SO-20260628-043</t>
        </is>
      </c>
      <c r="B46" s="24" t="n">
        <v>46201</v>
      </c>
      <c r="C46" s="18" t="inlineStr">
        <is>
          <t>DE-010</t>
        </is>
      </c>
      <c r="D46" s="6" t="inlineStr">
        <is>
          <t>义乌萌物集贸易有限公司</t>
        </is>
      </c>
      <c r="E46" s="6" t="inlineStr">
        <is>
          <t>ACC-06</t>
        </is>
      </c>
      <c r="F46" s="6" t="inlineStr">
        <is>
          <t>BabyCat贴纸套装</t>
        </is>
      </c>
      <c r="G46" s="25" t="n">
        <v>500</v>
      </c>
      <c r="H46" s="19" t="n">
        <v>19</v>
      </c>
      <c r="I46" s="19" t="n">
        <v>9500</v>
      </c>
      <c r="J46" s="26" t="n">
        <v>0.97</v>
      </c>
      <c r="K46" s="19" t="n">
        <v>9215</v>
      </c>
      <c r="L46" s="25" t="n">
        <v>30</v>
      </c>
      <c r="M46" s="24" t="n">
        <v>46231</v>
      </c>
      <c r="N46" s="18" t="inlineStr">
        <is>
          <t>快反追单</t>
        </is>
      </c>
      <c r="O46" s="6" t="inlineStr"/>
    </row>
    <row r="47">
      <c r="A47" s="20" t="inlineStr">
        <is>
          <t>SO-20260720-044</t>
        </is>
      </c>
      <c r="B47" s="27" t="n">
        <v>46223</v>
      </c>
      <c r="C47" s="20" t="inlineStr">
        <is>
          <t>DE-009</t>
        </is>
      </c>
      <c r="D47" s="8" t="inlineStr">
        <is>
          <t>广州潮玩前线贸易有限公司</t>
        </is>
      </c>
      <c r="E47" s="8" t="inlineStr">
        <is>
          <t>BLIND-02</t>
        </is>
      </c>
      <c r="F47" s="8" t="inlineStr">
        <is>
          <t>BabyCat随机单盒（盲盒常规）</t>
        </is>
      </c>
      <c r="G47" s="28" t="n">
        <v>130</v>
      </c>
      <c r="H47" s="21" t="n">
        <v>95</v>
      </c>
      <c r="I47" s="21" t="n">
        <v>12350</v>
      </c>
      <c r="J47" s="29" t="n">
        <v>0.97</v>
      </c>
      <c r="K47" s="21" t="n">
        <v>11979.5</v>
      </c>
      <c r="L47" s="28" t="n">
        <v>30</v>
      </c>
      <c r="M47" s="27" t="n">
        <v>46253</v>
      </c>
      <c r="N47" s="20" t="inlineStr">
        <is>
          <t>二次追单</t>
        </is>
      </c>
      <c r="O47" s="8" t="inlineStr"/>
    </row>
    <row r="48">
      <c r="A48" s="18" t="inlineStr">
        <is>
          <t>SO-20251226-045</t>
        </is>
      </c>
      <c r="B48" s="24" t="n">
        <v>46017</v>
      </c>
      <c r="C48" s="18" t="inlineStr">
        <is>
          <t>DE-009</t>
        </is>
      </c>
      <c r="D48" s="6" t="inlineStr">
        <is>
          <t>广州潮玩前线贸易有限公司</t>
        </is>
      </c>
      <c r="E48" s="6" t="inlineStr">
        <is>
          <t>LIMIT-01</t>
        </is>
      </c>
      <c r="F48" s="6" t="inlineStr">
        <is>
          <t>BabyCat冬季吊卡（限量1000个·济南快闪首发）</t>
        </is>
      </c>
      <c r="G48" s="25" t="n">
        <v>342</v>
      </c>
      <c r="H48" s="19" t="n">
        <v>129</v>
      </c>
      <c r="I48" s="19" t="n">
        <v>44118</v>
      </c>
      <c r="J48" s="26" t="n">
        <v>1</v>
      </c>
      <c r="K48" s="19" t="n">
        <v>44118</v>
      </c>
      <c r="L48" s="25" t="n">
        <v>30</v>
      </c>
      <c r="M48" s="24" t="n">
        <v>46047</v>
      </c>
      <c r="N48" s="18" t="inlineStr">
        <is>
          <t>快闪店零售</t>
        </is>
      </c>
      <c r="O48" s="6" t="inlineStr">
        <is>
          <t>济南快闪店·冬季吊卡首发（场景13:限量1000，快闪售342个）</t>
        </is>
      </c>
    </row>
  </sheetData>
  <autoFilter ref="A3:O48"/>
  <mergeCells count="2">
    <mergeCell ref="A1:O1"/>
    <mergeCell ref="A2:O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95" customWidth="1" min="1" max="1"/>
    <col width="13.5" customWidth="1" min="2" max="2"/>
    <col width="13.5" customWidth="1" min="3" max="3"/>
    <col width="13.5" customWidth="1" min="4" max="4"/>
    <col width="48" customWidth="1" min="5" max="5"/>
    <col width="11.2" customWidth="1" min="6" max="6"/>
    <col width="8" customWidth="1" min="7" max="7"/>
    <col width="11.2" customWidth="1" min="8" max="8"/>
  </cols>
  <sheetData>
    <row r="1" ht="30" customHeight="1">
      <c r="A1" s="16" t="inlineStr">
        <is>
          <t>🏪 Sell-Through — 经销商门店动销（25 条）</t>
        </is>
      </c>
    </row>
    <row r="2" ht="18" customHeight="1">
      <c r="A2" s="17" t="inlineStr">
        <is>
          <t>寄售/经销渠道按月报送的终端动销数据，销售金额 = 销售数量 × 单价，与『📦 销售出库』口径相互印证。</t>
        </is>
      </c>
    </row>
    <row r="3">
      <c r="A3" s="5" t="inlineStr">
        <is>
          <t>报表编号</t>
        </is>
      </c>
      <c r="B3" s="5" t="inlineStr">
        <is>
          <t>报表月份</t>
        </is>
      </c>
      <c r="C3" s="5" t="inlineStr">
        <is>
          <t>经销商编码</t>
        </is>
      </c>
      <c r="D3" s="5" t="inlineStr">
        <is>
          <t>SKU编码</t>
        </is>
      </c>
      <c r="E3" s="5" t="inlineStr">
        <is>
          <t>商品名称</t>
        </is>
      </c>
      <c r="F3" s="5" t="inlineStr">
        <is>
          <t>销售数量</t>
        </is>
      </c>
      <c r="G3" s="5" t="inlineStr">
        <is>
          <t>单价</t>
        </is>
      </c>
      <c r="H3" s="5" t="inlineStr">
        <is>
          <t>销售金额</t>
        </is>
      </c>
    </row>
    <row r="4">
      <c r="A4" s="18" t="inlineStr">
        <is>
          <t>ST-202605-001</t>
        </is>
      </c>
      <c r="B4" s="36" t="n">
        <v>46143</v>
      </c>
      <c r="C4" s="18" t="inlineStr">
        <is>
          <t>DE-001</t>
        </is>
      </c>
      <c r="D4" s="18" t="inlineStr">
        <is>
          <t>BLIND-02</t>
        </is>
      </c>
      <c r="E4" s="6" t="inlineStr">
        <is>
          <t>BabyCat随机单盒（盲盒常规）</t>
        </is>
      </c>
      <c r="F4" s="25" t="n">
        <v>180</v>
      </c>
      <c r="G4" s="19" t="n">
        <v>89</v>
      </c>
      <c r="H4" s="19" t="n">
        <v>16020</v>
      </c>
    </row>
    <row r="5">
      <c r="A5" s="20" t="inlineStr">
        <is>
          <t>ST-202605-002</t>
        </is>
      </c>
      <c r="B5" s="37" t="n">
        <v>46143</v>
      </c>
      <c r="C5" s="20" t="inlineStr">
        <is>
          <t>DE-001</t>
        </is>
      </c>
      <c r="D5" s="20" t="inlineStr">
        <is>
          <t>ENDBOX</t>
        </is>
      </c>
      <c r="E5" s="8" t="inlineStr">
        <is>
          <t>BabyCat端盒（6只不重复·常规款全套）</t>
        </is>
      </c>
      <c r="F5" s="28" t="n">
        <v>95</v>
      </c>
      <c r="G5" s="21" t="n">
        <v>546</v>
      </c>
      <c r="H5" s="21" t="n">
        <v>51870</v>
      </c>
    </row>
    <row r="6">
      <c r="A6" s="18" t="inlineStr">
        <is>
          <t>ST-202605-003</t>
        </is>
      </c>
      <c r="B6" s="36" t="n">
        <v>46143</v>
      </c>
      <c r="C6" s="18" t="inlineStr">
        <is>
          <t>DE-001</t>
        </is>
      </c>
      <c r="D6" s="18" t="inlineStr">
        <is>
          <t>OPEN-BC-01</t>
        </is>
      </c>
      <c r="E6" s="6" t="inlineStr">
        <is>
          <t>BabyCat明盒·橘影神偷（橘猫）</t>
        </is>
      </c>
      <c r="F6" s="25" t="n">
        <v>55</v>
      </c>
      <c r="G6" s="19" t="n">
        <v>100</v>
      </c>
      <c r="H6" s="19" t="n">
        <v>5500</v>
      </c>
    </row>
    <row r="7">
      <c r="A7" s="20" t="inlineStr">
        <is>
          <t>ST-202606-004</t>
        </is>
      </c>
      <c r="B7" s="37" t="n">
        <v>46174</v>
      </c>
      <c r="C7" s="20" t="inlineStr">
        <is>
          <t>DE-001</t>
        </is>
      </c>
      <c r="D7" s="20" t="inlineStr">
        <is>
          <t>BLIND-02</t>
        </is>
      </c>
      <c r="E7" s="8" t="inlineStr">
        <is>
          <t>BabyCat随机单盒（盲盒常规）</t>
        </is>
      </c>
      <c r="F7" s="28" t="n">
        <v>480</v>
      </c>
      <c r="G7" s="21" t="n">
        <v>89</v>
      </c>
      <c r="H7" s="21" t="n">
        <v>42720</v>
      </c>
    </row>
    <row r="8">
      <c r="A8" s="18" t="inlineStr">
        <is>
          <t>ST-202606-005</t>
        </is>
      </c>
      <c r="B8" s="36" t="n">
        <v>46174</v>
      </c>
      <c r="C8" s="18" t="inlineStr">
        <is>
          <t>DE-001</t>
        </is>
      </c>
      <c r="D8" s="18" t="inlineStr">
        <is>
          <t>ENDBOX</t>
        </is>
      </c>
      <c r="E8" s="6" t="inlineStr">
        <is>
          <t>BabyCat端盒（6只不重复·常规款全套）</t>
        </is>
      </c>
      <c r="F8" s="25" t="n">
        <v>190</v>
      </c>
      <c r="G8" s="19" t="n">
        <v>546</v>
      </c>
      <c r="H8" s="19" t="n">
        <v>103740</v>
      </c>
    </row>
    <row r="9">
      <c r="A9" s="20" t="inlineStr">
        <is>
          <t>ST-202606-006</t>
        </is>
      </c>
      <c r="B9" s="37" t="n">
        <v>46174</v>
      </c>
      <c r="C9" s="20" t="inlineStr">
        <is>
          <t>DE-001</t>
        </is>
      </c>
      <c r="D9" s="20" t="inlineStr">
        <is>
          <t>ACC-01</t>
        </is>
      </c>
      <c r="E9" s="8" t="inlineStr">
        <is>
          <t>BabyCat毛绒挂件·橘影神偷</t>
        </is>
      </c>
      <c r="F9" s="28" t="n">
        <v>280</v>
      </c>
      <c r="G9" s="21" t="n">
        <v>39</v>
      </c>
      <c r="H9" s="21" t="n">
        <v>10920</v>
      </c>
    </row>
    <row r="10">
      <c r="A10" s="18" t="inlineStr">
        <is>
          <t>ST-202607-007</t>
        </is>
      </c>
      <c r="B10" s="36" t="n">
        <v>46204</v>
      </c>
      <c r="C10" s="18" t="inlineStr">
        <is>
          <t>DE-001</t>
        </is>
      </c>
      <c r="D10" s="18" t="inlineStr">
        <is>
          <t>BLIND-02</t>
        </is>
      </c>
      <c r="E10" s="6" t="inlineStr">
        <is>
          <t>BabyCat随机单盒（盲盒常规）</t>
        </is>
      </c>
      <c r="F10" s="25" t="n">
        <v>300</v>
      </c>
      <c r="G10" s="19" t="n">
        <v>89</v>
      </c>
      <c r="H10" s="19" t="n">
        <v>26700</v>
      </c>
    </row>
    <row r="11">
      <c r="A11" s="20" t="inlineStr">
        <is>
          <t>ST-202607-008</t>
        </is>
      </c>
      <c r="B11" s="37" t="n">
        <v>46204</v>
      </c>
      <c r="C11" s="20" t="inlineStr">
        <is>
          <t>DE-001</t>
        </is>
      </c>
      <c r="D11" s="20" t="inlineStr">
        <is>
          <t>OPEN-BC-03</t>
        </is>
      </c>
      <c r="E11" s="8" t="inlineStr">
        <is>
          <t>BabyCat明盒·笨笨博士（布偶猫）</t>
        </is>
      </c>
      <c r="F11" s="28" t="n">
        <v>45</v>
      </c>
      <c r="G11" s="21" t="n">
        <v>100</v>
      </c>
      <c r="H11" s="21" t="n">
        <v>4500</v>
      </c>
    </row>
    <row r="12">
      <c r="A12" s="18" t="inlineStr">
        <is>
          <t>ST-202605-009</t>
        </is>
      </c>
      <c r="B12" s="36" t="n">
        <v>46143</v>
      </c>
      <c r="C12" s="18" t="inlineStr">
        <is>
          <t>DE-002</t>
        </is>
      </c>
      <c r="D12" s="18" t="inlineStr">
        <is>
          <t>BLIND-01</t>
        </is>
      </c>
      <c r="E12" s="6" t="inlineStr">
        <is>
          <t>BabyCat随机单盒（盲盒早鸟）</t>
        </is>
      </c>
      <c r="F12" s="25" t="n">
        <v>140</v>
      </c>
      <c r="G12" s="19" t="n">
        <v>89</v>
      </c>
      <c r="H12" s="19" t="n">
        <v>12460</v>
      </c>
    </row>
    <row r="13">
      <c r="A13" s="20" t="inlineStr">
        <is>
          <t>ST-202605-010</t>
        </is>
      </c>
      <c r="B13" s="37" t="n">
        <v>46143</v>
      </c>
      <c r="C13" s="20" t="inlineStr">
        <is>
          <t>DE-002</t>
        </is>
      </c>
      <c r="D13" s="20" t="inlineStr">
        <is>
          <t>ENDBOX</t>
        </is>
      </c>
      <c r="E13" s="8" t="inlineStr">
        <is>
          <t>BabyCat端盒（6只不重复·常规款全套）</t>
        </is>
      </c>
      <c r="F13" s="28" t="n">
        <v>75</v>
      </c>
      <c r="G13" s="21" t="n">
        <v>546</v>
      </c>
      <c r="H13" s="21" t="n">
        <v>40950</v>
      </c>
    </row>
    <row r="14">
      <c r="A14" s="18" t="inlineStr">
        <is>
          <t>ST-202606-011</t>
        </is>
      </c>
      <c r="B14" s="36" t="n">
        <v>46174</v>
      </c>
      <c r="C14" s="18" t="inlineStr">
        <is>
          <t>DE-002</t>
        </is>
      </c>
      <c r="D14" s="18" t="inlineStr">
        <is>
          <t>BLIND-02</t>
        </is>
      </c>
      <c r="E14" s="6" t="inlineStr">
        <is>
          <t>BabyCat随机单盒（盲盒常规）</t>
        </is>
      </c>
      <c r="F14" s="25" t="n">
        <v>380</v>
      </c>
      <c r="G14" s="19" t="n">
        <v>89</v>
      </c>
      <c r="H14" s="19" t="n">
        <v>33820</v>
      </c>
    </row>
    <row r="15">
      <c r="A15" s="20" t="inlineStr">
        <is>
          <t>ST-202607-012</t>
        </is>
      </c>
      <c r="B15" s="37" t="n">
        <v>46204</v>
      </c>
      <c r="C15" s="20" t="inlineStr">
        <is>
          <t>DE-002</t>
        </is>
      </c>
      <c r="D15" s="20" t="inlineStr">
        <is>
          <t>BLIND-02</t>
        </is>
      </c>
      <c r="E15" s="8" t="inlineStr">
        <is>
          <t>BabyCat随机单盒（盲盒常规）</t>
        </is>
      </c>
      <c r="F15" s="28" t="n">
        <v>250</v>
      </c>
      <c r="G15" s="21" t="n">
        <v>89</v>
      </c>
      <c r="H15" s="21" t="n">
        <v>22250</v>
      </c>
    </row>
    <row r="16">
      <c r="A16" s="18" t="inlineStr">
        <is>
          <t>ST-202605-013</t>
        </is>
      </c>
      <c r="B16" s="36" t="n">
        <v>46143</v>
      </c>
      <c r="C16" s="18" t="inlineStr">
        <is>
          <t>DE-003</t>
        </is>
      </c>
      <c r="D16" s="18" t="inlineStr">
        <is>
          <t>BLIND-01</t>
        </is>
      </c>
      <c r="E16" s="6" t="inlineStr">
        <is>
          <t>BabyCat随机单盒（盲盒早鸟）</t>
        </is>
      </c>
      <c r="F16" s="25" t="n">
        <v>190</v>
      </c>
      <c r="G16" s="19" t="n">
        <v>89</v>
      </c>
      <c r="H16" s="19" t="n">
        <v>16910</v>
      </c>
    </row>
    <row r="17">
      <c r="A17" s="20" t="inlineStr">
        <is>
          <t>ST-202605-014</t>
        </is>
      </c>
      <c r="B17" s="37" t="n">
        <v>46143</v>
      </c>
      <c r="C17" s="20" t="inlineStr">
        <is>
          <t>DE-003</t>
        </is>
      </c>
      <c r="D17" s="20" t="inlineStr">
        <is>
          <t>ENDBOX</t>
        </is>
      </c>
      <c r="E17" s="8" t="inlineStr">
        <is>
          <t>BabyCat端盒（6只不重复·常规款全套）</t>
        </is>
      </c>
      <c r="F17" s="28" t="n">
        <v>95</v>
      </c>
      <c r="G17" s="21" t="n">
        <v>546</v>
      </c>
      <c r="H17" s="21" t="n">
        <v>51870</v>
      </c>
    </row>
    <row r="18">
      <c r="A18" s="18" t="inlineStr">
        <is>
          <t>ST-202606-015</t>
        </is>
      </c>
      <c r="B18" s="36" t="n">
        <v>46174</v>
      </c>
      <c r="C18" s="18" t="inlineStr">
        <is>
          <t>DE-003</t>
        </is>
      </c>
      <c r="D18" s="18" t="inlineStr">
        <is>
          <t>BLIND-02</t>
        </is>
      </c>
      <c r="E18" s="6" t="inlineStr">
        <is>
          <t>BabyCat随机单盒（盲盒常规）</t>
        </is>
      </c>
      <c r="F18" s="25" t="n">
        <v>460</v>
      </c>
      <c r="G18" s="19" t="n">
        <v>89</v>
      </c>
      <c r="H18" s="19" t="n">
        <v>40940</v>
      </c>
    </row>
    <row r="19">
      <c r="A19" s="20" t="inlineStr">
        <is>
          <t>ST-202606-016</t>
        </is>
      </c>
      <c r="B19" s="37" t="n">
        <v>46174</v>
      </c>
      <c r="C19" s="20" t="inlineStr">
        <is>
          <t>DE-003</t>
        </is>
      </c>
      <c r="D19" s="20" t="inlineStr">
        <is>
          <t>ENDBOX</t>
        </is>
      </c>
      <c r="E19" s="8" t="inlineStr">
        <is>
          <t>BabyCat端盒（6只不重复·常规款全套）</t>
        </is>
      </c>
      <c r="F19" s="28" t="n">
        <v>235</v>
      </c>
      <c r="G19" s="21" t="n">
        <v>546</v>
      </c>
      <c r="H19" s="21" t="n">
        <v>128310</v>
      </c>
    </row>
    <row r="20">
      <c r="A20" s="18" t="inlineStr">
        <is>
          <t>ST-202607-017</t>
        </is>
      </c>
      <c r="B20" s="36" t="n">
        <v>46204</v>
      </c>
      <c r="C20" s="18" t="inlineStr">
        <is>
          <t>DE-003</t>
        </is>
      </c>
      <c r="D20" s="18" t="inlineStr">
        <is>
          <t>BLIND-02</t>
        </is>
      </c>
      <c r="E20" s="6" t="inlineStr">
        <is>
          <t>BabyCat随机单盒（盲盒常规）</t>
        </is>
      </c>
      <c r="F20" s="25" t="n">
        <v>280</v>
      </c>
      <c r="G20" s="19" t="n">
        <v>89</v>
      </c>
      <c r="H20" s="19" t="n">
        <v>24920</v>
      </c>
    </row>
    <row r="21">
      <c r="A21" s="20" t="inlineStr">
        <is>
          <t>ST-202605-018</t>
        </is>
      </c>
      <c r="B21" s="37" t="n">
        <v>46143</v>
      </c>
      <c r="C21" s="20" t="inlineStr">
        <is>
          <t>DE-004</t>
        </is>
      </c>
      <c r="D21" s="20" t="inlineStr">
        <is>
          <t>BLIND-01</t>
        </is>
      </c>
      <c r="E21" s="8" t="inlineStr">
        <is>
          <t>BabyCat随机单盒（盲盒早鸟）</t>
        </is>
      </c>
      <c r="F21" s="28" t="n">
        <v>90</v>
      </c>
      <c r="G21" s="21" t="n">
        <v>89</v>
      </c>
      <c r="H21" s="21" t="n">
        <v>8010</v>
      </c>
    </row>
    <row r="22">
      <c r="A22" s="18" t="inlineStr">
        <is>
          <t>ST-202606-019</t>
        </is>
      </c>
      <c r="B22" s="36" t="n">
        <v>46174</v>
      </c>
      <c r="C22" s="18" t="inlineStr">
        <is>
          <t>DE-004</t>
        </is>
      </c>
      <c r="D22" s="18" t="inlineStr">
        <is>
          <t>BLIND-02</t>
        </is>
      </c>
      <c r="E22" s="6" t="inlineStr">
        <is>
          <t>BabyCat随机单盒（盲盒常规）</t>
        </is>
      </c>
      <c r="F22" s="25" t="n">
        <v>270</v>
      </c>
      <c r="G22" s="19" t="n">
        <v>89</v>
      </c>
      <c r="H22" s="19" t="n">
        <v>24030</v>
      </c>
    </row>
    <row r="23">
      <c r="A23" s="20" t="inlineStr">
        <is>
          <t>ST-202606-020</t>
        </is>
      </c>
      <c r="B23" s="37" t="n">
        <v>46174</v>
      </c>
      <c r="C23" s="20" t="inlineStr">
        <is>
          <t>DE-004</t>
        </is>
      </c>
      <c r="D23" s="20" t="inlineStr">
        <is>
          <t>ACC-02</t>
        </is>
      </c>
      <c r="E23" s="8" t="inlineStr">
        <is>
          <t>BabyCat亚克力立牌·BabyCat全家福</t>
        </is>
      </c>
      <c r="F23" s="28" t="n">
        <v>185</v>
      </c>
      <c r="G23" s="21" t="n">
        <v>49</v>
      </c>
      <c r="H23" s="21" t="n">
        <v>9065</v>
      </c>
    </row>
    <row r="24">
      <c r="A24" s="18" t="inlineStr">
        <is>
          <t>ST-202607-021</t>
        </is>
      </c>
      <c r="B24" s="36" t="n">
        <v>46204</v>
      </c>
      <c r="C24" s="18" t="inlineStr">
        <is>
          <t>DE-004</t>
        </is>
      </c>
      <c r="D24" s="18" t="inlineStr">
        <is>
          <t>BLIND-02</t>
        </is>
      </c>
      <c r="E24" s="6" t="inlineStr">
        <is>
          <t>BabyCat随机单盒（盲盒常规）</t>
        </is>
      </c>
      <c r="F24" s="25" t="n">
        <v>145</v>
      </c>
      <c r="G24" s="19" t="n">
        <v>89</v>
      </c>
      <c r="H24" s="19" t="n">
        <v>12905</v>
      </c>
    </row>
    <row r="25">
      <c r="A25" s="20" t="inlineStr">
        <is>
          <t>ST-202605-022</t>
        </is>
      </c>
      <c r="B25" s="37" t="n">
        <v>46143</v>
      </c>
      <c r="C25" s="20" t="inlineStr">
        <is>
          <t>DE-005</t>
        </is>
      </c>
      <c r="D25" s="20" t="inlineStr">
        <is>
          <t>BLIND-01</t>
        </is>
      </c>
      <c r="E25" s="8" t="inlineStr">
        <is>
          <t>BabyCat随机单盒（盲盒早鸟）</t>
        </is>
      </c>
      <c r="F25" s="28" t="n">
        <v>70</v>
      </c>
      <c r="G25" s="21" t="n">
        <v>89</v>
      </c>
      <c r="H25" s="21" t="n">
        <v>6230</v>
      </c>
    </row>
    <row r="26">
      <c r="A26" s="18" t="inlineStr">
        <is>
          <t>ST-202605-023</t>
        </is>
      </c>
      <c r="B26" s="36" t="n">
        <v>46143</v>
      </c>
      <c r="C26" s="18" t="inlineStr">
        <is>
          <t>DE-005</t>
        </is>
      </c>
      <c r="D26" s="18" t="inlineStr">
        <is>
          <t>ENDBOX</t>
        </is>
      </c>
      <c r="E26" s="6" t="inlineStr">
        <is>
          <t>BabyCat端盒（6只不重复·常规款全套）</t>
        </is>
      </c>
      <c r="F26" s="25" t="n">
        <v>35</v>
      </c>
      <c r="G26" s="19" t="n">
        <v>546</v>
      </c>
      <c r="H26" s="19" t="n">
        <v>19110</v>
      </c>
    </row>
    <row r="27">
      <c r="A27" s="20" t="inlineStr">
        <is>
          <t>ST-202606-024</t>
        </is>
      </c>
      <c r="B27" s="37" t="n">
        <v>46174</v>
      </c>
      <c r="C27" s="20" t="inlineStr">
        <is>
          <t>DE-005</t>
        </is>
      </c>
      <c r="D27" s="20" t="inlineStr">
        <is>
          <t>BLIND-02</t>
        </is>
      </c>
      <c r="E27" s="8" t="inlineStr">
        <is>
          <t>BabyCat随机单盒（盲盒常规）</t>
        </is>
      </c>
      <c r="F27" s="28" t="n">
        <v>230</v>
      </c>
      <c r="G27" s="21" t="n">
        <v>89</v>
      </c>
      <c r="H27" s="21" t="n">
        <v>20470</v>
      </c>
    </row>
    <row r="28">
      <c r="A28" s="18" t="inlineStr">
        <is>
          <t>ST-202606-025</t>
        </is>
      </c>
      <c r="B28" s="36" t="n">
        <v>46174</v>
      </c>
      <c r="C28" s="18" t="inlineStr">
        <is>
          <t>DE-005</t>
        </is>
      </c>
      <c r="D28" s="18" t="inlineStr">
        <is>
          <t>OPEN-BC-03</t>
        </is>
      </c>
      <c r="E28" s="6" t="inlineStr">
        <is>
          <t>BabyCat明盒·笨笨博士（布偶猫）</t>
        </is>
      </c>
      <c r="F28" s="25" t="n">
        <v>45</v>
      </c>
      <c r="G28" s="19" t="n">
        <v>100</v>
      </c>
      <c r="H28" s="19" t="n">
        <v>4500</v>
      </c>
    </row>
  </sheetData>
  <autoFilter ref="A3:H28"/>
  <mergeCells count="2">
    <mergeCell ref="A1:H1"/>
    <mergeCell ref="A2:H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25" customWidth="1" min="1" max="1"/>
    <col width="13.5" customWidth="1" min="2" max="2"/>
    <col width="43.4" customWidth="1" min="3" max="3"/>
    <col width="11.2" customWidth="1" min="4" max="4"/>
    <col width="11.2" customWidth="1" min="5" max="5"/>
    <col width="29.6" customWidth="1" min="6" max="6"/>
    <col width="20.4" customWidth="1" min="7" max="7"/>
    <col width="60" customWidth="1" min="8" max="8"/>
    <col width="38.8" customWidth="1" min="9" max="9"/>
    <col hidden="1" width="22.7" customWidth="1" min="10" max="10"/>
  </cols>
  <sheetData>
    <row r="1" ht="30" customHeight="1">
      <c r="A1" s="16" t="inlineStr">
        <is>
          <t>💰 银行回款流水（22 笔）</t>
        </is>
      </c>
    </row>
    <row r="2" ht="18" customHeight="1">
      <c r="A2" s="17" t="inlineStr">
        <is>
          <t>按付款方名称自动匹配经销商（名称一致 / 规范化一致 / 包含匹配）；I 列为匹配结果，J 列为 SUMIF 辅助编码（可隐藏）。</t>
        </is>
      </c>
    </row>
    <row r="3">
      <c r="A3" s="5" t="inlineStr">
        <is>
          <t>回款单号</t>
        </is>
      </c>
      <c r="B3" s="5" t="inlineStr">
        <is>
          <t>到账日期</t>
        </is>
      </c>
      <c r="C3" s="5" t="inlineStr">
        <is>
          <t>付款方名称</t>
        </is>
      </c>
      <c r="D3" s="5" t="inlineStr">
        <is>
          <t>金额</t>
        </is>
      </c>
      <c r="E3" s="5" t="inlineStr">
        <is>
          <t>付款方式</t>
        </is>
      </c>
      <c r="F3" s="5" t="inlineStr">
        <is>
          <t>开户行</t>
        </is>
      </c>
      <c r="G3" s="5" t="inlineStr">
        <is>
          <t>交易流水号</t>
        </is>
      </c>
      <c r="H3" s="5" t="inlineStr">
        <is>
          <t>备注</t>
        </is>
      </c>
      <c r="I3" s="5" t="inlineStr">
        <is>
          <t>对账经销商(自动匹配)</t>
        </is>
      </c>
      <c r="J3" s="5" t="inlineStr">
        <is>
          <t>经销商编码(辅助列)</t>
        </is>
      </c>
    </row>
    <row r="4">
      <c r="A4" s="18" t="inlineStr">
        <is>
          <t>PM-20260801-001</t>
        </is>
      </c>
      <c r="B4" s="24" t="n">
        <v>46235</v>
      </c>
      <c r="C4" s="6" t="inlineStr">
        <is>
          <t>名创优品（广州）有限责任公司</t>
        </is>
      </c>
      <c r="D4" s="19" t="n">
        <v>163348</v>
      </c>
      <c r="E4" s="6" t="inlineStr">
        <is>
          <t>网银转账</t>
        </is>
      </c>
      <c r="F4" s="6" t="inlineStr">
        <is>
          <t>中国工商银行深圳前海支行</t>
        </is>
      </c>
      <c r="G4" s="6" t="inlineStr">
        <is>
          <t>3956260831832256</t>
        </is>
      </c>
      <c r="H4" s="6" t="inlineStr">
        <is>
          <t>6月货款合计 单号SO-20260605-004/SO-20260605-005/SO-20260605-006（场景1:多单合并）</t>
        </is>
      </c>
      <c r="I4" s="6" t="inlineStr">
        <is>
          <t>名创优品（广州）有限责任公司</t>
        </is>
      </c>
      <c r="J4" s="18" t="inlineStr">
        <is>
          <t>DE-001</t>
        </is>
      </c>
    </row>
    <row r="5">
      <c r="A5" s="20" t="inlineStr">
        <is>
          <t>PM-20260803-002</t>
        </is>
      </c>
      <c r="B5" s="27" t="n">
        <v>46237</v>
      </c>
      <c r="C5" s="8" t="inlineStr">
        <is>
          <t>TOPTOY（广州）文化发展有限公司</t>
        </is>
      </c>
      <c r="D5" s="21" t="n">
        <v>50000</v>
      </c>
      <c r="E5" s="8" t="inlineStr">
        <is>
          <t>网银转账</t>
        </is>
      </c>
      <c r="F5" s="8" t="inlineStr">
        <is>
          <t>中国工商银行深圳前海支行</t>
        </is>
      </c>
      <c r="G5" s="8" t="inlineStr">
        <is>
          <t>6747341224418040</t>
        </is>
      </c>
      <c r="H5" s="8" t="inlineStr">
        <is>
          <t>6月部分货款 单号SO-20260618-016（场景2:部分回款）</t>
        </is>
      </c>
      <c r="I5" s="8" t="inlineStr">
        <is>
          <t>TOPTOY（广州）文化发展有限公司</t>
        </is>
      </c>
      <c r="J5" s="20" t="inlineStr">
        <is>
          <t>DE-003</t>
        </is>
      </c>
    </row>
    <row r="6">
      <c r="A6" s="18" t="inlineStr">
        <is>
          <t>PM-20260701-003</t>
        </is>
      </c>
      <c r="B6" s="24" t="n">
        <v>46204</v>
      </c>
      <c r="C6" s="6" t="inlineStr">
        <is>
          <t>抖音电商（官方旗舰店）</t>
        </is>
      </c>
      <c r="D6" s="19" t="n">
        <v>30000</v>
      </c>
      <c r="E6" s="6" t="inlineStr">
        <is>
          <t>网银转账</t>
        </is>
      </c>
      <c r="F6" s="6" t="inlineStr">
        <is>
          <t>中国工商银行深圳前海支行</t>
        </is>
      </c>
      <c r="G6" s="6" t="inlineStr">
        <is>
          <t>7633496704183093</t>
        </is>
      </c>
      <c r="H6" s="6" t="inlineStr">
        <is>
          <t>7月新品订货预付款（场景4:预付款）</t>
        </is>
      </c>
      <c r="I6" s="6" t="inlineStr">
        <is>
          <t>抖音电商（官方旗舰店）</t>
        </is>
      </c>
      <c r="J6" s="18" t="inlineStr">
        <is>
          <t>DE-007</t>
        </is>
      </c>
    </row>
    <row r="7">
      <c r="A7" s="20" t="inlineStr">
        <is>
          <t>PM-20260805-004</t>
        </is>
      </c>
      <c r="B7" s="27" t="n">
        <v>46239</v>
      </c>
      <c r="C7" s="8" t="inlineStr">
        <is>
          <t>广州潮玩前线贸易有限公司</t>
        </is>
      </c>
      <c r="D7" s="21" t="n">
        <v>11978.83</v>
      </c>
      <c r="E7" s="8" t="inlineStr">
        <is>
          <t>网银转账</t>
        </is>
      </c>
      <c r="F7" s="8" t="inlineStr">
        <is>
          <t>中国工商银行深圳前海支行</t>
        </is>
      </c>
      <c r="G7" s="8" t="inlineStr">
        <is>
          <t>6986708854616866</t>
        </is>
      </c>
      <c r="H7" s="8" t="inlineStr">
        <is>
          <t>7月货款 单号SO-20260720-044（场景5:抹零差异¥0.67）</t>
        </is>
      </c>
      <c r="I7" s="8" t="inlineStr">
        <is>
          <t>广州潮玩前线贸易有限公司</t>
        </is>
      </c>
      <c r="J7" s="20" t="inlineStr">
        <is>
          <t>DE-009</t>
        </is>
      </c>
    </row>
    <row r="8">
      <c r="A8" s="18" t="inlineStr">
        <is>
          <t>PM-20260725-005</t>
        </is>
      </c>
      <c r="B8" s="24" t="n">
        <v>46228</v>
      </c>
      <c r="C8" s="6" t="inlineStr">
        <is>
          <t>酷乐潮玩（北京）贸易公司</t>
        </is>
      </c>
      <c r="D8" s="19" t="n">
        <v>38848</v>
      </c>
      <c r="E8" s="6" t="inlineStr">
        <is>
          <t>网银转账</t>
        </is>
      </c>
      <c r="F8" s="6" t="inlineStr">
        <is>
          <t>中国工商银行深圳前海支行</t>
        </is>
      </c>
      <c r="G8" s="6" t="inlineStr">
        <is>
          <t>4967854356581702</t>
        </is>
      </c>
      <c r="H8" s="6" t="inlineStr">
        <is>
          <t>6月货款 BabyCat盲盒+端盒（场景6:付款方名称不规范）</t>
        </is>
      </c>
      <c r="I8" s="6" t="inlineStr">
        <is>
          <t>酷乐潮玩（北京）贸易有限公司</t>
        </is>
      </c>
      <c r="J8" s="18" t="inlineStr">
        <is>
          <t>DE-002</t>
        </is>
      </c>
    </row>
    <row r="9">
      <c r="A9" s="20" t="inlineStr">
        <is>
          <t>PM-20260801-006</t>
        </is>
      </c>
      <c r="B9" s="27" t="n">
        <v>46235</v>
      </c>
      <c r="C9" s="8" t="inlineStr">
        <is>
          <t>上海晨光文具股份有限公司（九木杂物社）</t>
        </is>
      </c>
      <c r="D9" s="21" t="n">
        <v>14520</v>
      </c>
      <c r="E9" s="8" t="inlineStr">
        <is>
          <t>网银转账</t>
        </is>
      </c>
      <c r="F9" s="8" t="inlineStr">
        <is>
          <t>中国工商银行深圳前海支行</t>
        </is>
      </c>
      <c r="G9" s="8" t="inlineStr">
        <is>
          <t>2008867831427862</t>
        </is>
      </c>
      <c r="H9" s="8" t="inlineStr">
        <is>
          <t>5月货款 单号SO-20260512-024（场景7:逾期15天到账）</t>
        </is>
      </c>
      <c r="I9" s="8" t="inlineStr">
        <is>
          <t>上海晨光文具股份有限公司（九木杂物社）</t>
        </is>
      </c>
      <c r="J9" s="20" t="inlineStr">
        <is>
          <t>DE-005</t>
        </is>
      </c>
    </row>
    <row r="10">
      <c r="A10" s="18" t="inlineStr">
        <is>
          <t>PM-20260802-007</t>
        </is>
      </c>
      <c r="B10" s="24" t="n">
        <v>46236</v>
      </c>
      <c r="C10" s="6" t="inlineStr">
        <is>
          <t>广州KK馆贸易有限公司</t>
        </is>
      </c>
      <c r="D10" s="19" t="n">
        <v>45280</v>
      </c>
      <c r="E10" s="6" t="inlineStr">
        <is>
          <t>网银转账</t>
        </is>
      </c>
      <c r="F10" s="6" t="inlineStr">
        <is>
          <t>中国工商银行深圳前海支行</t>
        </is>
      </c>
      <c r="G10" s="6" t="inlineStr">
        <is>
          <t>6404576034975573</t>
        </is>
      </c>
      <c r="H10" s="6" t="inlineStr">
        <is>
          <t>6-7月货款（场景8:含退货冲销）</t>
        </is>
      </c>
      <c r="I10" s="6" t="inlineStr">
        <is>
          <t>广州KK馆贸易有限公司</t>
        </is>
      </c>
      <c r="J10" s="18" t="inlineStr">
        <is>
          <t>DE-004</t>
        </is>
      </c>
    </row>
    <row r="11">
      <c r="A11" s="20" t="inlineStr">
        <is>
          <t>PM-20260720-008</t>
        </is>
      </c>
      <c r="B11" s="27" t="n">
        <v>46223</v>
      </c>
      <c r="C11" s="8" t="inlineStr">
        <is>
          <t>广州潮玩前线贸易有限公司</t>
        </is>
      </c>
      <c r="D11" s="21" t="n">
        <v>11058</v>
      </c>
      <c r="E11" s="8" t="inlineStr">
        <is>
          <t>网银转账</t>
        </is>
      </c>
      <c r="F11" s="8" t="inlineStr">
        <is>
          <t>中国工商银行深圳前海支行</t>
        </is>
      </c>
      <c r="G11" s="8" t="inlineStr">
        <is>
          <t>6137576807612845</t>
        </is>
      </c>
      <c r="H11" s="8" t="inlineStr">
        <is>
          <t>（场景9:无备注自动匹配）</t>
        </is>
      </c>
      <c r="I11" s="8" t="inlineStr">
        <is>
          <t>广州潮玩前线贸易有限公司</t>
        </is>
      </c>
      <c r="J11" s="20" t="inlineStr">
        <is>
          <t>DE-009</t>
        </is>
      </c>
    </row>
    <row r="12">
      <c r="A12" s="18" t="inlineStr">
        <is>
          <t>PM-20260722-009</t>
        </is>
      </c>
      <c r="B12" s="24" t="n">
        <v>46225</v>
      </c>
      <c r="C12" s="6" t="inlineStr">
        <is>
          <t>义乌萌物集贸易有限公司</t>
        </is>
      </c>
      <c r="D12" s="19" t="n">
        <v>9214</v>
      </c>
      <c r="E12" s="6" t="inlineStr">
        <is>
          <t>网银转账</t>
        </is>
      </c>
      <c r="F12" s="6" t="inlineStr">
        <is>
          <t>中国工商银行深圳前海支行</t>
        </is>
      </c>
      <c r="G12" s="6" t="inlineStr">
        <is>
          <t>1544452611893555</t>
        </is>
      </c>
      <c r="H12" s="6" t="inlineStr">
        <is>
          <t>5月货款（场景10:少付¥1.00）</t>
        </is>
      </c>
      <c r="I12" s="6" t="inlineStr">
        <is>
          <t>义乌萌物集贸易有限公司</t>
        </is>
      </c>
      <c r="J12" s="18" t="inlineStr">
        <is>
          <t>DE-010</t>
        </is>
      </c>
    </row>
    <row r="13">
      <c r="A13" s="20" t="inlineStr">
        <is>
          <t>PM-20260620-010</t>
        </is>
      </c>
      <c r="B13" s="27" t="n">
        <v>46193</v>
      </c>
      <c r="C13" s="8" t="inlineStr">
        <is>
          <t>名创优品（广州）有限责任公司</t>
        </is>
      </c>
      <c r="D13" s="21" t="n">
        <v>53820.8</v>
      </c>
      <c r="E13" s="8" t="inlineStr">
        <is>
          <t>网银转账</t>
        </is>
      </c>
      <c r="F13" s="8" t="inlineStr">
        <is>
          <t>中国工商银行深圳前海支行</t>
        </is>
      </c>
      <c r="G13" s="8" t="inlineStr">
        <is>
          <t>2944180289693803</t>
        </is>
      </c>
      <c r="H13" s="8" t="inlineStr">
        <is>
          <t>5月BabyCat首轮试产货款</t>
        </is>
      </c>
      <c r="I13" s="8" t="inlineStr">
        <is>
          <t>名创优品（广州）有限责任公司</t>
        </is>
      </c>
      <c r="J13" s="20" t="inlineStr">
        <is>
          <t>DE-001</t>
        </is>
      </c>
    </row>
    <row r="14">
      <c r="A14" s="18" t="inlineStr">
        <is>
          <t>PM-20260625-011</t>
        </is>
      </c>
      <c r="B14" s="24" t="n">
        <v>46198</v>
      </c>
      <c r="C14" s="6" t="inlineStr">
        <is>
          <t>酷乐潮玩（北京）贸易有限公司</t>
        </is>
      </c>
      <c r="D14" s="19" t="n">
        <v>26126.4</v>
      </c>
      <c r="E14" s="6" t="inlineStr">
        <is>
          <t>网银转账</t>
        </is>
      </c>
      <c r="F14" s="6" t="inlineStr">
        <is>
          <t>中国工商银行深圳前海支行</t>
        </is>
      </c>
      <c r="G14" s="6" t="inlineStr">
        <is>
          <t>6337613985348779</t>
        </is>
      </c>
      <c r="H14" s="6" t="inlineStr">
        <is>
          <t>5月BabyCat试产货款</t>
        </is>
      </c>
      <c r="I14" s="6" t="inlineStr">
        <is>
          <t>酷乐潮玩（北京）贸易有限公司</t>
        </is>
      </c>
      <c r="J14" s="18" t="inlineStr">
        <is>
          <t>DE-002</t>
        </is>
      </c>
    </row>
    <row r="15">
      <c r="A15" s="20" t="inlineStr">
        <is>
          <t>PM-20260715-012</t>
        </is>
      </c>
      <c r="B15" s="27" t="n">
        <v>46218</v>
      </c>
      <c r="C15" s="8" t="inlineStr">
        <is>
          <t>抖音电商（官方旗舰店）</t>
        </is>
      </c>
      <c r="D15" s="21" t="n">
        <v>42560</v>
      </c>
      <c r="E15" s="8" t="inlineStr">
        <is>
          <t>网银转账</t>
        </is>
      </c>
      <c r="F15" s="8" t="inlineStr">
        <is>
          <t>中国工商银行深圳前海支行</t>
        </is>
      </c>
      <c r="G15" s="8" t="inlineStr">
        <is>
          <t>3874043667498408</t>
        </is>
      </c>
      <c r="H15" s="8" t="inlineStr">
        <is>
          <t>5-6月平台结算（已扣佣金）</t>
        </is>
      </c>
      <c r="I15" s="8" t="inlineStr">
        <is>
          <t>抖音电商（官方旗舰店）</t>
        </is>
      </c>
      <c r="J15" s="20" t="inlineStr">
        <is>
          <t>DE-007</t>
        </is>
      </c>
    </row>
    <row r="16">
      <c r="A16" s="18" t="inlineStr">
        <is>
          <t>PM-20260808-013</t>
        </is>
      </c>
      <c r="B16" s="24" t="n">
        <v>46242</v>
      </c>
      <c r="C16" s="6" t="inlineStr">
        <is>
          <t>名创优品（广州）有限责任公司</t>
        </is>
      </c>
      <c r="D16" s="19" t="n">
        <v>72680</v>
      </c>
      <c r="E16" s="6" t="inlineStr">
        <is>
          <t>网银转账</t>
        </is>
      </c>
      <c r="F16" s="6" t="inlineStr">
        <is>
          <t>中国工商银行深圳前海支行</t>
        </is>
      </c>
      <c r="G16" s="6" t="inlineStr">
        <is>
          <t>9740812999426701</t>
        </is>
      </c>
      <c r="H16" s="6" t="inlineStr">
        <is>
          <t>7月BabyCat暑期促销货款</t>
        </is>
      </c>
      <c r="I16" s="6" t="inlineStr">
        <is>
          <t>名创优品（广州）有限责任公司</t>
        </is>
      </c>
      <c r="J16" s="18" t="inlineStr">
        <is>
          <t>DE-001</t>
        </is>
      </c>
    </row>
    <row r="17">
      <c r="A17" s="20" t="inlineStr">
        <is>
          <t>PM-20260806-014</t>
        </is>
      </c>
      <c r="B17" s="27" t="n">
        <v>46240</v>
      </c>
      <c r="C17" s="8" t="inlineStr">
        <is>
          <t>酷乐潮玩（北京）贸易有限公司</t>
        </is>
      </c>
      <c r="D17" s="21" t="n">
        <v>51300</v>
      </c>
      <c r="E17" s="8" t="inlineStr">
        <is>
          <t>网银转账</t>
        </is>
      </c>
      <c r="F17" s="8" t="inlineStr">
        <is>
          <t>中国工商银行深圳前海支行</t>
        </is>
      </c>
      <c r="G17" s="8" t="inlineStr">
        <is>
          <t>4891252716295775</t>
        </is>
      </c>
      <c r="H17" s="8" t="inlineStr">
        <is>
          <t>7月货款</t>
        </is>
      </c>
      <c r="I17" s="8" t="inlineStr">
        <is>
          <t>酷乐潮玩（北京）贸易有限公司</t>
        </is>
      </c>
      <c r="J17" s="20" t="inlineStr">
        <is>
          <t>DE-002</t>
        </is>
      </c>
    </row>
    <row r="18">
      <c r="A18" s="18" t="inlineStr">
        <is>
          <t>PM-20260618-015</t>
        </is>
      </c>
      <c r="B18" s="24" t="n">
        <v>46191</v>
      </c>
      <c r="C18" s="6" t="inlineStr">
        <is>
          <t>广州KK馆贸易有限公司</t>
        </is>
      </c>
      <c r="D18" s="19" t="n">
        <v>8730</v>
      </c>
      <c r="E18" s="6" t="inlineStr">
        <is>
          <t>网银转账</t>
        </is>
      </c>
      <c r="F18" s="6" t="inlineStr">
        <is>
          <t>中国工商银行深圳前海支行</t>
        </is>
      </c>
      <c r="G18" s="6" t="inlineStr">
        <is>
          <t>3433771360600607</t>
        </is>
      </c>
      <c r="H18" s="6" t="inlineStr">
        <is>
          <t>5月BabyCat试产货款</t>
        </is>
      </c>
      <c r="I18" s="6" t="inlineStr">
        <is>
          <t>广州KK馆贸易有限公司</t>
        </is>
      </c>
      <c r="J18" s="18" t="inlineStr">
        <is>
          <t>DE-004</t>
        </is>
      </c>
    </row>
    <row r="19">
      <c r="A19" s="20" t="inlineStr">
        <is>
          <t>PM-20260628-016</t>
        </is>
      </c>
      <c r="B19" s="27" t="n">
        <v>46201</v>
      </c>
      <c r="C19" s="8" t="inlineStr">
        <is>
          <t>TOPTOY（广州）文化发展有限公司</t>
        </is>
      </c>
      <c r="D19" s="21" t="n">
        <v>37056</v>
      </c>
      <c r="E19" s="8" t="inlineStr">
        <is>
          <t>网银转账</t>
        </is>
      </c>
      <c r="F19" s="8" t="inlineStr">
        <is>
          <t>中国工商银行深圳前海支行</t>
        </is>
      </c>
      <c r="G19" s="8" t="inlineStr">
        <is>
          <t>1520232317833693</t>
        </is>
      </c>
      <c r="H19" s="8" t="inlineStr">
        <is>
          <t>5月BabyCat试产货款</t>
        </is>
      </c>
      <c r="I19" s="8" t="inlineStr">
        <is>
          <t>TOPTOY（广州）文化发展有限公司</t>
        </is>
      </c>
      <c r="J19" s="20" t="inlineStr">
        <is>
          <t>DE-003</t>
        </is>
      </c>
    </row>
    <row r="20">
      <c r="A20" s="18" t="inlineStr">
        <is>
          <t>PM-20260710-017</t>
        </is>
      </c>
      <c r="B20" s="24" t="n">
        <v>46213</v>
      </c>
      <c r="C20" s="6" t="inlineStr">
        <is>
          <t>上海晨光文具股份有限公司（九木杂物社）</t>
        </is>
      </c>
      <c r="D20" s="19" t="n">
        <v>26022</v>
      </c>
      <c r="E20" s="6" t="inlineStr">
        <is>
          <t>网银转账</t>
        </is>
      </c>
      <c r="F20" s="6" t="inlineStr">
        <is>
          <t>中国工商银行深圳前海支行</t>
        </is>
      </c>
      <c r="G20" s="6" t="inlineStr">
        <is>
          <t>8028217708273842</t>
        </is>
      </c>
      <c r="H20" s="6" t="inlineStr">
        <is>
          <t>5-6月货款</t>
        </is>
      </c>
      <c r="I20" s="6" t="inlineStr">
        <is>
          <t>上海晨光文具股份有限公司（九木杂物社）</t>
        </is>
      </c>
      <c r="J20" s="18" t="inlineStr">
        <is>
          <t>DE-005</t>
        </is>
      </c>
    </row>
    <row r="21">
      <c r="A21" s="20" t="inlineStr">
        <is>
          <t>PM-20260708-018</t>
        </is>
      </c>
      <c r="B21" s="27" t="n">
        <v>46211</v>
      </c>
      <c r="C21" s="8" t="inlineStr">
        <is>
          <t>沃尔玛（中国）投资有限公司</t>
        </is>
      </c>
      <c r="D21" s="21" t="n">
        <v>17575</v>
      </c>
      <c r="E21" s="8" t="inlineStr">
        <is>
          <t>网银转账</t>
        </is>
      </c>
      <c r="F21" s="8" t="inlineStr">
        <is>
          <t>中国工商银行深圳前海支行</t>
        </is>
      </c>
      <c r="G21" s="8" t="inlineStr">
        <is>
          <t>7079413555936410</t>
        </is>
      </c>
      <c r="H21" s="8" t="inlineStr">
        <is>
          <t>5月货款</t>
        </is>
      </c>
      <c r="I21" s="8" t="inlineStr">
        <is>
          <t>沃尔玛（中国）投资有限公司</t>
        </is>
      </c>
      <c r="J21" s="20" t="inlineStr">
        <is>
          <t>DE-006</t>
        </is>
      </c>
    </row>
    <row r="22">
      <c r="A22" s="18" t="inlineStr">
        <is>
          <t>PM-20260805-019</t>
        </is>
      </c>
      <c r="B22" s="24" t="n">
        <v>46239</v>
      </c>
      <c r="C22" s="6" t="inlineStr">
        <is>
          <t>抖音电商（官方旗舰店）</t>
        </is>
      </c>
      <c r="D22" s="19" t="n">
        <v>61750</v>
      </c>
      <c r="E22" s="6" t="inlineStr">
        <is>
          <t>网银转账</t>
        </is>
      </c>
      <c r="F22" s="6" t="inlineStr">
        <is>
          <t>中国工商银行深圳前海支行</t>
        </is>
      </c>
      <c r="G22" s="6" t="inlineStr">
        <is>
          <t>4725332905754255</t>
        </is>
      </c>
      <c r="H22" s="6" t="inlineStr">
        <is>
          <t>7月平台结算（已扣佣金及达人分成）</t>
        </is>
      </c>
      <c r="I22" s="6" t="inlineStr">
        <is>
          <t>抖音电商（官方旗舰店）</t>
        </is>
      </c>
      <c r="J22" s="18" t="inlineStr">
        <is>
          <t>DE-007</t>
        </is>
      </c>
    </row>
    <row r="23">
      <c r="A23" s="20" t="inlineStr">
        <is>
          <t>PM-20260804-020</t>
        </is>
      </c>
      <c r="B23" s="27" t="n">
        <v>46238</v>
      </c>
      <c r="C23" s="8" t="inlineStr">
        <is>
          <t>TikTok Shop（跨境）</t>
        </is>
      </c>
      <c r="D23" s="21" t="n">
        <v>19607</v>
      </c>
      <c r="E23" s="8" t="inlineStr">
        <is>
          <t>网银转账</t>
        </is>
      </c>
      <c r="F23" s="8" t="inlineStr">
        <is>
          <t>中国工商银行深圳前海支行</t>
        </is>
      </c>
      <c r="G23" s="8" t="inlineStr">
        <is>
          <t>1389601948664220</t>
        </is>
      </c>
      <c r="H23" s="8" t="inlineStr">
        <is>
          <t>TikTok Shop US 6月结算 $2756.00@7.1123 实到¥19607.00（场景14:汇兑损益¥326.50）</t>
        </is>
      </c>
      <c r="I23" s="8" t="inlineStr">
        <is>
          <t>TikTok Shop（跨境）</t>
        </is>
      </c>
      <c r="J23" s="20" t="inlineStr">
        <is>
          <t>DE-008</t>
        </is>
      </c>
    </row>
    <row r="24">
      <c r="A24" s="18" t="inlineStr">
        <is>
          <t>PM-20260728-021</t>
        </is>
      </c>
      <c r="B24" s="24" t="n">
        <v>46231</v>
      </c>
      <c r="C24" s="6" t="inlineStr">
        <is>
          <t>广州潮玩前线贸易有限公司</t>
        </is>
      </c>
      <c r="D24" s="19" t="n">
        <v>31828.8</v>
      </c>
      <c r="E24" s="6" t="inlineStr">
        <is>
          <t>网银转账</t>
        </is>
      </c>
      <c r="F24" s="6" t="inlineStr">
        <is>
          <t>中国工商银行深圳前海支行</t>
        </is>
      </c>
      <c r="G24" s="6" t="inlineStr">
        <is>
          <t>7259696892194660</t>
        </is>
      </c>
      <c r="H24" s="6" t="inlineStr">
        <is>
          <t>6月货款 BabyCat盲盒+端盒</t>
        </is>
      </c>
      <c r="I24" s="6" t="inlineStr">
        <is>
          <t>广州潮玩前线贸易有限公司</t>
        </is>
      </c>
      <c r="J24" s="18" t="inlineStr">
        <is>
          <t>DE-009</t>
        </is>
      </c>
    </row>
    <row r="25">
      <c r="A25" s="20" t="inlineStr">
        <is>
          <t>PM-20260807-022</t>
        </is>
      </c>
      <c r="B25" s="27" t="n">
        <v>46241</v>
      </c>
      <c r="C25" s="8" t="inlineStr">
        <is>
          <t>义乌萌物集贸易有限公司</t>
        </is>
      </c>
      <c r="D25" s="21" t="n">
        <v>30820</v>
      </c>
      <c r="E25" s="8" t="inlineStr">
        <is>
          <t>网银转账</t>
        </is>
      </c>
      <c r="F25" s="8" t="inlineStr">
        <is>
          <t>中国工商银行深圳前海支行</t>
        </is>
      </c>
      <c r="G25" s="8" t="inlineStr">
        <is>
          <t>4099031231421026</t>
        </is>
      </c>
      <c r="H25" s="8" t="inlineStr">
        <is>
          <t>6-7月货款</t>
        </is>
      </c>
      <c r="I25" s="8" t="inlineStr">
        <is>
          <t>义乌萌物集贸易有限公司</t>
        </is>
      </c>
      <c r="J25" s="20" t="inlineStr">
        <is>
          <t>DE-010</t>
        </is>
      </c>
    </row>
  </sheetData>
  <autoFilter ref="A3:J25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I146"/>
  <sheetViews>
    <sheetView workbookViewId="0">
      <pane ySplit="34" topLeftCell="A3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.899999999999999" customWidth="1" min="3" max="3"/>
    <col width="20.4" customWidth="1" min="4" max="4"/>
    <col width="8" customWidth="1" min="5" max="5"/>
    <col width="8" customWidth="1" min="6" max="6"/>
    <col width="8" customWidth="1" min="7" max="7"/>
    <col width="11.2" customWidth="1" min="8" max="8"/>
    <col width="11.2" customWidth="1" min="9" max="9"/>
  </cols>
  <sheetData>
    <row r="1" ht="30" customHeight="1">
      <c r="A1" s="16" t="inlineStr">
        <is>
          <t>🎯 摩点众筹结算 — BabyCat 首轮众筹（2025.07–2026.02）</t>
        </is>
      </c>
    </row>
    <row r="2" ht="18" customHeight="1">
      <c r="A2" s="17" t="inlineStr">
        <is>
          <t>应结算金额为平台扣除服务费后的净额；服务费按 6% 倒算（毛额=净额/0.94）；支持明细为后台抽样 112 笔，与结算总额口径不同。</t>
        </is>
      </c>
    </row>
    <row r="4" ht="22" customHeight="1">
      <c r="A4" s="3" t="inlineStr">
        <is>
          <t>① 三阶段结算明细</t>
        </is>
      </c>
    </row>
    <row r="5">
      <c r="A5" s="5" t="inlineStr">
        <is>
          <t>结算编号</t>
        </is>
      </c>
      <c r="B5" s="5" t="inlineStr">
        <is>
          <t>申请日期</t>
        </is>
      </c>
      <c r="C5" s="5" t="inlineStr">
        <is>
          <t>结算阶段</t>
        </is>
      </c>
      <c r="D5" s="5" t="inlineStr">
        <is>
          <t>应结算金额</t>
        </is>
      </c>
      <c r="E5" s="5" t="inlineStr">
        <is>
          <t>到账日期</t>
        </is>
      </c>
      <c r="F5" s="5" t="inlineStr">
        <is>
          <t>实际到账</t>
        </is>
      </c>
      <c r="G5" s="5" t="inlineStr">
        <is>
          <t>状态</t>
        </is>
      </c>
      <c r="H5" s="5" t="inlineStr">
        <is>
          <t>备注</t>
        </is>
      </c>
    </row>
    <row r="6">
      <c r="A6" s="18" t="inlineStr">
        <is>
          <t>MD-SETTLE-01</t>
        </is>
      </c>
      <c r="B6" s="24" t="n">
        <v>45874</v>
      </c>
      <c r="C6" s="6" t="inlineStr">
        <is>
          <t>首款（50%）</t>
        </is>
      </c>
      <c r="D6" s="38" t="n">
        <v>39778</v>
      </c>
      <c r="E6" s="39" t="n">
        <v>45879</v>
      </c>
      <c r="F6" s="38" t="n">
        <v>39778</v>
      </c>
      <c r="G6" s="18" t="inlineStr">
        <is>
          <t>已到账</t>
        </is>
      </c>
      <c r="H6" s="6" t="inlineStr">
        <is>
          <t>众筹成功→首款实际到账（场景11:比理论¥41777少¥1999，因支持者退款）</t>
        </is>
      </c>
    </row>
    <row r="7">
      <c r="A7" s="20" t="inlineStr">
        <is>
          <t>MD-SETTLE-02</t>
        </is>
      </c>
      <c r="B7" s="27" t="n">
        <v>45981</v>
      </c>
      <c r="C7" s="8" t="inlineStr">
        <is>
          <t>中款（30%）</t>
        </is>
      </c>
      <c r="D7" s="40" t="n">
        <v>25067</v>
      </c>
      <c r="E7" s="41" t="n">
        <v>45986</v>
      </c>
      <c r="F7" s="40" t="n">
        <v>25067</v>
      </c>
      <c r="G7" s="20" t="inlineStr">
        <is>
          <t>已到账</t>
        </is>
      </c>
      <c r="H7" s="8" t="inlineStr">
        <is>
          <t>全部发货完成→中款到账</t>
        </is>
      </c>
    </row>
    <row r="8">
      <c r="A8" s="18" t="inlineStr">
        <is>
          <t>MD-SETTLE-03</t>
        </is>
      </c>
      <c r="B8" s="24" t="n">
        <v>46058</v>
      </c>
      <c r="C8" s="6" t="inlineStr">
        <is>
          <t>尾款（20%）</t>
        </is>
      </c>
      <c r="D8" s="38" t="n">
        <v>16711</v>
      </c>
      <c r="E8" s="39" t="n">
        <v>46065</v>
      </c>
      <c r="F8" s="38" t="n">
        <v>16711</v>
      </c>
      <c r="G8" s="18" t="inlineStr">
        <is>
          <t>已到账</t>
        </is>
      </c>
      <c r="H8" s="6" t="inlineStr">
        <is>
          <t>评价期满→尾款到账</t>
        </is>
      </c>
    </row>
    <row r="9">
      <c r="A9" s="42" t="inlineStr">
        <is>
          <t>合计</t>
        </is>
      </c>
      <c r="B9" s="42" t="n"/>
      <c r="C9" s="42" t="inlineStr">
        <is>
          <t>三阶段合计</t>
        </is>
      </c>
      <c r="D9" s="43">
        <f>SUM(D6:D8)</f>
        <v/>
      </c>
      <c r="E9" s="42" t="n"/>
      <c r="F9" s="43">
        <f>SUM(F6:F8)</f>
        <v/>
      </c>
      <c r="G9" s="42" t="inlineStr">
        <is>
          <t>—</t>
        </is>
      </c>
      <c r="H9" s="42" t="inlineStr">
        <is>
          <t>未到账=应结算-实际到账</t>
        </is>
      </c>
      <c r="I9" s="42" t="n"/>
    </row>
    <row r="10" ht="22" customHeight="1">
      <c r="A10" s="3" t="inlineStr">
        <is>
          <t>② 平台服务费测算（摩点标准 6%）</t>
        </is>
      </c>
    </row>
    <row r="11">
      <c r="A11" s="5" t="inlineStr">
        <is>
          <t>项目</t>
        </is>
      </c>
      <c r="B11" s="5" t="inlineStr">
        <is>
          <t>金额（元）</t>
        </is>
      </c>
      <c r="C11" s="5" t="inlineStr">
        <is>
          <t>说明</t>
        </is>
      </c>
    </row>
    <row r="12">
      <c r="A12" s="44" t="inlineStr">
        <is>
          <t>应结算总额（文件口径）</t>
        </is>
      </c>
      <c r="B12" s="45">
        <f>D9</f>
        <v/>
      </c>
      <c r="C12" s="44" t="inlineStr">
        <is>
          <t>三阶段应结算合计（已扣服务费）</t>
        </is>
      </c>
    </row>
    <row r="13">
      <c r="A13" s="44" t="inlineStr">
        <is>
          <t>众筹认筹毛额（倒算）</t>
        </is>
      </c>
      <c r="B13" s="45">
        <f>ROUND(D9/0.94,2)</f>
        <v/>
      </c>
      <c r="C13" s="44" t="inlineStr">
        <is>
          <t>毛额 = 净额 ÷ (1-6%)</t>
        </is>
      </c>
    </row>
    <row r="14">
      <c r="A14" s="44" t="inlineStr">
        <is>
          <t>平台服务费（6%）</t>
        </is>
      </c>
      <c r="B14" s="45">
        <f>ROUND(D9/0.94*0.06,2)</f>
        <v/>
      </c>
      <c r="C14" s="44" t="inlineStr">
        <is>
          <t>认筹毛额 × 6%</t>
        </is>
      </c>
    </row>
    <row r="15">
      <c r="A15" s="44" t="inlineStr">
        <is>
          <t>服务费后净应收</t>
        </is>
      </c>
      <c r="B15" s="45">
        <f>ROUND(D9/0.94*0.94,2)</f>
        <v/>
      </c>
      <c r="C15" s="44">
        <f> 应结算总额（两者应一致）</f>
        <v/>
      </c>
    </row>
    <row r="16">
      <c r="A16" s="44" t="inlineStr">
        <is>
          <t>实际已到账</t>
        </is>
      </c>
      <c r="B16" s="45">
        <f>F9</f>
        <v/>
      </c>
      <c r="C16" s="44" t="inlineStr">
        <is>
          <t>银行实际到账合计</t>
        </is>
      </c>
    </row>
    <row r="17">
      <c r="A17" s="44" t="inlineStr">
        <is>
          <t>未到账</t>
        </is>
      </c>
      <c r="B17" s="45">
        <f>ROUND(D9/0.94*0.94-F9,2)</f>
        <v/>
      </c>
      <c r="C17" s="44" t="inlineStr">
        <is>
          <t>0 表示三阶段全部结清</t>
        </is>
      </c>
    </row>
    <row r="19" ht="22" customHeight="1">
      <c r="A19" s="3" t="inlineStr">
        <is>
          <t>③ 支持明细汇总（后台抽样 112 笔）</t>
        </is>
      </c>
    </row>
    <row r="20">
      <c r="A20" s="5" t="inlineStr">
        <is>
          <t>档位名称</t>
        </is>
      </c>
      <c r="B20" s="5" t="inlineStr">
        <is>
          <t>支持笔数</t>
        </is>
      </c>
      <c r="C20" s="5" t="inlineStr">
        <is>
          <t>支持金额（元）</t>
        </is>
      </c>
      <c r="D20" s="5" t="inlineStr">
        <is>
          <t>占比</t>
        </is>
      </c>
    </row>
    <row r="21">
      <c r="A21" s="6" t="inlineStr">
        <is>
          <t>ALL-IN套装</t>
        </is>
      </c>
      <c r="B21" s="25" t="n">
        <v>14</v>
      </c>
      <c r="C21" s="38" t="n">
        <v>9520</v>
      </c>
      <c r="D21" s="22">
        <f>14/112</f>
        <v/>
      </c>
    </row>
    <row r="22">
      <c r="A22" s="8" t="inlineStr">
        <is>
          <t>端盒（6只）</t>
        </is>
      </c>
      <c r="B22" s="28" t="n">
        <v>14</v>
      </c>
      <c r="C22" s="40" t="n">
        <v>7644</v>
      </c>
      <c r="D22" s="23">
        <f>14/112</f>
        <v/>
      </c>
    </row>
    <row r="23">
      <c r="A23" s="6" t="inlineStr">
        <is>
          <t>CP对盒（常规）</t>
        </is>
      </c>
      <c r="B23" s="25" t="n">
        <v>14</v>
      </c>
      <c r="C23" s="38" t="n">
        <v>2576</v>
      </c>
      <c r="D23" s="22">
        <f>14/112</f>
        <v/>
      </c>
    </row>
    <row r="24">
      <c r="A24" s="8" t="inlineStr">
        <is>
          <t>CP对盒（早鸟）</t>
        </is>
      </c>
      <c r="B24" s="28" t="n">
        <v>14</v>
      </c>
      <c r="C24" s="40" t="n">
        <v>2464</v>
      </c>
      <c r="D24" s="23">
        <f>14/112</f>
        <v/>
      </c>
    </row>
    <row r="25">
      <c r="A25" s="6" t="inlineStr">
        <is>
          <t>明盒（常规）</t>
        </is>
      </c>
      <c r="B25" s="25" t="n">
        <v>14</v>
      </c>
      <c r="C25" s="38" t="n">
        <v>1400</v>
      </c>
      <c r="D25" s="22">
        <f>14/112</f>
        <v/>
      </c>
    </row>
    <row r="26">
      <c r="A26" s="8" t="inlineStr">
        <is>
          <t>单盒（常规）</t>
        </is>
      </c>
      <c r="B26" s="28" t="n">
        <v>14</v>
      </c>
      <c r="C26" s="40" t="n">
        <v>1330</v>
      </c>
      <c r="D26" s="23">
        <f>14/112</f>
        <v/>
      </c>
    </row>
    <row r="27">
      <c r="A27" s="6" t="inlineStr">
        <is>
          <t>限量明盒（早鸟）</t>
        </is>
      </c>
      <c r="B27" s="25" t="n">
        <v>14</v>
      </c>
      <c r="C27" s="38" t="n">
        <v>1316</v>
      </c>
      <c r="D27" s="22">
        <f>14/112</f>
        <v/>
      </c>
    </row>
    <row r="28">
      <c r="A28" s="8" t="inlineStr">
        <is>
          <t>随机单盒（早鸟）</t>
        </is>
      </c>
      <c r="B28" s="28" t="n">
        <v>14</v>
      </c>
      <c r="C28" s="40" t="n">
        <v>1246</v>
      </c>
      <c r="D28" s="23">
        <f>14/112</f>
        <v/>
      </c>
    </row>
    <row r="29">
      <c r="A29" s="42" t="inlineStr">
        <is>
          <t>合计</t>
        </is>
      </c>
      <c r="B29" s="46">
        <f>SUM(B21:B28)</f>
        <v/>
      </c>
      <c r="C29" s="43">
        <f>SUM(C21:C28)</f>
        <v/>
      </c>
      <c r="D29" s="42" t="inlineStr">
        <is>
          <t>8 个档位</t>
        </is>
      </c>
    </row>
    <row r="31">
      <c r="A31" s="47" t="inlineStr">
        <is>
          <t>支付状态：已支付 112 笔 / 未支付 0 笔     |     发货状态：已发货 112 笔 / 未发货 0 笔</t>
        </is>
      </c>
    </row>
    <row r="33" ht="22" customHeight="1">
      <c r="A33" s="3" t="inlineStr">
        <is>
          <t>④ 支持明细（抽样）</t>
        </is>
      </c>
    </row>
    <row r="34">
      <c r="A34" s="5" t="inlineStr">
        <is>
          <t>支持编号</t>
        </is>
      </c>
      <c r="B34" s="5" t="inlineStr">
        <is>
          <t>支持日期</t>
        </is>
      </c>
      <c r="C34" s="5" t="inlineStr">
        <is>
          <t>支持者</t>
        </is>
      </c>
      <c r="D34" s="5" t="inlineStr">
        <is>
          <t>档位名称</t>
        </is>
      </c>
      <c r="E34" s="5" t="inlineStr">
        <is>
          <t>数量</t>
        </is>
      </c>
      <c r="F34" s="5" t="inlineStr">
        <is>
          <t>单价</t>
        </is>
      </c>
      <c r="G34" s="5" t="inlineStr">
        <is>
          <t>金额</t>
        </is>
      </c>
      <c r="H34" s="5" t="inlineStr">
        <is>
          <t>支付状态</t>
        </is>
      </c>
      <c r="I34" s="5" t="inlineStr">
        <is>
          <t>发货状态</t>
        </is>
      </c>
    </row>
    <row r="35">
      <c r="A35" s="18" t="inlineStr">
        <is>
          <t>MD-2025070001</t>
        </is>
      </c>
      <c r="B35" s="24" t="n">
        <v>45862</v>
      </c>
      <c r="C35" s="6" t="inlineStr">
        <is>
          <t>张*欣</t>
        </is>
      </c>
      <c r="D35" s="6" t="inlineStr">
        <is>
          <t>随机单盒（早鸟）</t>
        </is>
      </c>
      <c r="E35" s="25" t="n">
        <v>1</v>
      </c>
      <c r="F35" s="38" t="n">
        <v>89</v>
      </c>
      <c r="G35" s="38" t="n">
        <v>89</v>
      </c>
      <c r="H35" s="18" t="inlineStr">
        <is>
          <t>已支付</t>
        </is>
      </c>
      <c r="I35" s="18" t="inlineStr">
        <is>
          <t>已发货</t>
        </is>
      </c>
    </row>
    <row r="36">
      <c r="A36" s="20" t="inlineStr">
        <is>
          <t>MD-2025070002</t>
        </is>
      </c>
      <c r="B36" s="27" t="n">
        <v>45863</v>
      </c>
      <c r="C36" s="8" t="inlineStr">
        <is>
          <t>李*然</t>
        </is>
      </c>
      <c r="D36" s="8" t="inlineStr">
        <is>
          <t>限量明盒（早鸟）</t>
        </is>
      </c>
      <c r="E36" s="28" t="n">
        <v>1</v>
      </c>
      <c r="F36" s="40" t="n">
        <v>94</v>
      </c>
      <c r="G36" s="40" t="n">
        <v>94</v>
      </c>
      <c r="H36" s="20" t="inlineStr">
        <is>
          <t>已支付</t>
        </is>
      </c>
      <c r="I36" s="20" t="inlineStr">
        <is>
          <t>已发货</t>
        </is>
      </c>
    </row>
    <row r="37">
      <c r="A37" s="18" t="inlineStr">
        <is>
          <t>MD-2025070003</t>
        </is>
      </c>
      <c r="B37" s="24" t="n">
        <v>45877</v>
      </c>
      <c r="C37" s="6" t="inlineStr">
        <is>
          <t>王*喵</t>
        </is>
      </c>
      <c r="D37" s="6" t="inlineStr">
        <is>
          <t>单盒（常规）</t>
        </is>
      </c>
      <c r="E37" s="25" t="n">
        <v>1</v>
      </c>
      <c r="F37" s="38" t="n">
        <v>95</v>
      </c>
      <c r="G37" s="38" t="n">
        <v>95</v>
      </c>
      <c r="H37" s="18" t="inlineStr">
        <is>
          <t>已支付</t>
        </is>
      </c>
      <c r="I37" s="18" t="inlineStr">
        <is>
          <t>已发货</t>
        </is>
      </c>
    </row>
    <row r="38">
      <c r="A38" s="20" t="inlineStr">
        <is>
          <t>MD-2025070004</t>
        </is>
      </c>
      <c r="B38" s="27" t="n">
        <v>45875</v>
      </c>
      <c r="C38" s="8" t="inlineStr">
        <is>
          <t>陈*豪</t>
        </is>
      </c>
      <c r="D38" s="8" t="inlineStr">
        <is>
          <t>明盒（常规）</t>
        </is>
      </c>
      <c r="E38" s="28" t="n">
        <v>1</v>
      </c>
      <c r="F38" s="40" t="n">
        <v>100</v>
      </c>
      <c r="G38" s="40" t="n">
        <v>100</v>
      </c>
      <c r="H38" s="20" t="inlineStr">
        <is>
          <t>已支付</t>
        </is>
      </c>
      <c r="I38" s="20" t="inlineStr">
        <is>
          <t>已发货</t>
        </is>
      </c>
    </row>
    <row r="39">
      <c r="A39" s="18" t="inlineStr">
        <is>
          <t>MD-2025070005</t>
        </is>
      </c>
      <c r="B39" s="24" t="n">
        <v>45855</v>
      </c>
      <c r="C39" s="6" t="inlineStr">
        <is>
          <t>刘*宇</t>
        </is>
      </c>
      <c r="D39" s="6" t="inlineStr">
        <is>
          <t>CP对盒（早鸟）</t>
        </is>
      </c>
      <c r="E39" s="25" t="n">
        <v>1</v>
      </c>
      <c r="F39" s="38" t="n">
        <v>176</v>
      </c>
      <c r="G39" s="38" t="n">
        <v>176</v>
      </c>
      <c r="H39" s="18" t="inlineStr">
        <is>
          <t>已支付</t>
        </is>
      </c>
      <c r="I39" s="18" t="inlineStr">
        <is>
          <t>已发货</t>
        </is>
      </c>
    </row>
    <row r="40">
      <c r="A40" s="20" t="inlineStr">
        <is>
          <t>MD-2025070006</t>
        </is>
      </c>
      <c r="B40" s="27" t="n">
        <v>45865</v>
      </c>
      <c r="C40" s="8" t="inlineStr">
        <is>
          <t>赵*彤</t>
        </is>
      </c>
      <c r="D40" s="8" t="inlineStr">
        <is>
          <t>CP对盒（常规）</t>
        </is>
      </c>
      <c r="E40" s="28" t="n">
        <v>1</v>
      </c>
      <c r="F40" s="40" t="n">
        <v>184</v>
      </c>
      <c r="G40" s="40" t="n">
        <v>184</v>
      </c>
      <c r="H40" s="20" t="inlineStr">
        <is>
          <t>已支付</t>
        </is>
      </c>
      <c r="I40" s="20" t="inlineStr">
        <is>
          <t>已发货</t>
        </is>
      </c>
    </row>
    <row r="41">
      <c r="A41" s="18" t="inlineStr">
        <is>
          <t>MD-2025070007</t>
        </is>
      </c>
      <c r="B41" s="24" t="n">
        <v>45858</v>
      </c>
      <c r="C41" s="6" t="inlineStr">
        <is>
          <t>周*远</t>
        </is>
      </c>
      <c r="D41" s="6" t="inlineStr">
        <is>
          <t>端盒（6只）</t>
        </is>
      </c>
      <c r="E41" s="25" t="n">
        <v>1</v>
      </c>
      <c r="F41" s="38" t="n">
        <v>546</v>
      </c>
      <c r="G41" s="38" t="n">
        <v>546</v>
      </c>
      <c r="H41" s="18" t="inlineStr">
        <is>
          <t>已支付</t>
        </is>
      </c>
      <c r="I41" s="18" t="inlineStr">
        <is>
          <t>已发货</t>
        </is>
      </c>
    </row>
    <row r="42">
      <c r="A42" s="20" t="inlineStr">
        <is>
          <t>MD-2025070008</t>
        </is>
      </c>
      <c r="B42" s="27" t="n">
        <v>45879</v>
      </c>
      <c r="C42" s="8" t="inlineStr">
        <is>
          <t>吴*琪</t>
        </is>
      </c>
      <c r="D42" s="8" t="inlineStr">
        <is>
          <t>ALL-IN套装</t>
        </is>
      </c>
      <c r="E42" s="28" t="n">
        <v>1</v>
      </c>
      <c r="F42" s="40" t="n">
        <v>680</v>
      </c>
      <c r="G42" s="40" t="n">
        <v>680</v>
      </c>
      <c r="H42" s="20" t="inlineStr">
        <is>
          <t>已支付</t>
        </is>
      </c>
      <c r="I42" s="20" t="inlineStr">
        <is>
          <t>已发货</t>
        </is>
      </c>
    </row>
    <row r="43">
      <c r="A43" s="18" t="inlineStr">
        <is>
          <t>MD-2025070009</t>
        </is>
      </c>
      <c r="B43" s="24" t="n">
        <v>45868</v>
      </c>
      <c r="C43" s="6" t="inlineStr">
        <is>
          <t>郑*杰</t>
        </is>
      </c>
      <c r="D43" s="6" t="inlineStr">
        <is>
          <t>随机单盒（早鸟）</t>
        </is>
      </c>
      <c r="E43" s="25" t="n">
        <v>1</v>
      </c>
      <c r="F43" s="38" t="n">
        <v>89</v>
      </c>
      <c r="G43" s="38" t="n">
        <v>89</v>
      </c>
      <c r="H43" s="18" t="inlineStr">
        <is>
          <t>已支付</t>
        </is>
      </c>
      <c r="I43" s="18" t="inlineStr">
        <is>
          <t>已发货</t>
        </is>
      </c>
    </row>
    <row r="44">
      <c r="A44" s="20" t="inlineStr">
        <is>
          <t>MD-2025070010</t>
        </is>
      </c>
      <c r="B44" s="27" t="n">
        <v>45873</v>
      </c>
      <c r="C44" s="8" t="inlineStr">
        <is>
          <t>钱*琳</t>
        </is>
      </c>
      <c r="D44" s="8" t="inlineStr">
        <is>
          <t>限量明盒（早鸟）</t>
        </is>
      </c>
      <c r="E44" s="28" t="n">
        <v>1</v>
      </c>
      <c r="F44" s="40" t="n">
        <v>94</v>
      </c>
      <c r="G44" s="40" t="n">
        <v>94</v>
      </c>
      <c r="H44" s="20" t="inlineStr">
        <is>
          <t>已支付</t>
        </is>
      </c>
      <c r="I44" s="20" t="inlineStr">
        <is>
          <t>已发货</t>
        </is>
      </c>
    </row>
    <row r="45">
      <c r="A45" s="18" t="inlineStr">
        <is>
          <t>MD-2025070011</t>
        </is>
      </c>
      <c r="B45" s="24" t="n">
        <v>45853</v>
      </c>
      <c r="C45" s="6" t="inlineStr">
        <is>
          <t>孙*浩</t>
        </is>
      </c>
      <c r="D45" s="6" t="inlineStr">
        <is>
          <t>单盒（常规）</t>
        </is>
      </c>
      <c r="E45" s="25" t="n">
        <v>1</v>
      </c>
      <c r="F45" s="38" t="n">
        <v>95</v>
      </c>
      <c r="G45" s="38" t="n">
        <v>95</v>
      </c>
      <c r="H45" s="18" t="inlineStr">
        <is>
          <t>已支付</t>
        </is>
      </c>
      <c r="I45" s="18" t="inlineStr">
        <is>
          <t>已发货</t>
        </is>
      </c>
    </row>
    <row r="46">
      <c r="A46" s="20" t="inlineStr">
        <is>
          <t>MD-2025070012</t>
        </is>
      </c>
      <c r="B46" s="27" t="n">
        <v>45867</v>
      </c>
      <c r="C46" s="8" t="inlineStr">
        <is>
          <t>马*萌</t>
        </is>
      </c>
      <c r="D46" s="8" t="inlineStr">
        <is>
          <t>明盒（常规）</t>
        </is>
      </c>
      <c r="E46" s="28" t="n">
        <v>1</v>
      </c>
      <c r="F46" s="40" t="n">
        <v>100</v>
      </c>
      <c r="G46" s="40" t="n">
        <v>100</v>
      </c>
      <c r="H46" s="20" t="inlineStr">
        <is>
          <t>已支付</t>
        </is>
      </c>
      <c r="I46" s="20" t="inlineStr">
        <is>
          <t>已发货</t>
        </is>
      </c>
    </row>
    <row r="47">
      <c r="A47" s="18" t="inlineStr">
        <is>
          <t>MD-2025070013</t>
        </is>
      </c>
      <c r="B47" s="24" t="n">
        <v>45880</v>
      </c>
      <c r="C47" s="6" t="inlineStr">
        <is>
          <t>朱*霖</t>
        </is>
      </c>
      <c r="D47" s="6" t="inlineStr">
        <is>
          <t>CP对盒（早鸟）</t>
        </is>
      </c>
      <c r="E47" s="25" t="n">
        <v>1</v>
      </c>
      <c r="F47" s="38" t="n">
        <v>176</v>
      </c>
      <c r="G47" s="38" t="n">
        <v>176</v>
      </c>
      <c r="H47" s="18" t="inlineStr">
        <is>
          <t>已支付</t>
        </is>
      </c>
      <c r="I47" s="18" t="inlineStr">
        <is>
          <t>已发货</t>
        </is>
      </c>
    </row>
    <row r="48">
      <c r="A48" s="20" t="inlineStr">
        <is>
          <t>MD-2025070014</t>
        </is>
      </c>
      <c r="B48" s="27" t="n">
        <v>45877</v>
      </c>
      <c r="C48" s="8" t="inlineStr">
        <is>
          <t>胡*鑫</t>
        </is>
      </c>
      <c r="D48" s="8" t="inlineStr">
        <is>
          <t>CP对盒（常规）</t>
        </is>
      </c>
      <c r="E48" s="28" t="n">
        <v>1</v>
      </c>
      <c r="F48" s="40" t="n">
        <v>184</v>
      </c>
      <c r="G48" s="40" t="n">
        <v>184</v>
      </c>
      <c r="H48" s="20" t="inlineStr">
        <is>
          <t>已支付</t>
        </is>
      </c>
      <c r="I48" s="20" t="inlineStr">
        <is>
          <t>已发货</t>
        </is>
      </c>
    </row>
    <row r="49">
      <c r="A49" s="18" t="inlineStr">
        <is>
          <t>MD-2025070015</t>
        </is>
      </c>
      <c r="B49" s="24" t="n">
        <v>45867</v>
      </c>
      <c r="C49" s="6" t="inlineStr">
        <is>
          <t>林*妍</t>
        </is>
      </c>
      <c r="D49" s="6" t="inlineStr">
        <is>
          <t>端盒（6只）</t>
        </is>
      </c>
      <c r="E49" s="25" t="n">
        <v>1</v>
      </c>
      <c r="F49" s="38" t="n">
        <v>546</v>
      </c>
      <c r="G49" s="38" t="n">
        <v>546</v>
      </c>
      <c r="H49" s="18" t="inlineStr">
        <is>
          <t>已支付</t>
        </is>
      </c>
      <c r="I49" s="18" t="inlineStr">
        <is>
          <t>已发货</t>
        </is>
      </c>
    </row>
    <row r="50">
      <c r="A50" s="20" t="inlineStr">
        <is>
          <t>MD-2025070016</t>
        </is>
      </c>
      <c r="B50" s="27" t="n">
        <v>45870</v>
      </c>
      <c r="C50" s="8" t="inlineStr">
        <is>
          <t>何*阳</t>
        </is>
      </c>
      <c r="D50" s="8" t="inlineStr">
        <is>
          <t>ALL-IN套装</t>
        </is>
      </c>
      <c r="E50" s="28" t="n">
        <v>1</v>
      </c>
      <c r="F50" s="40" t="n">
        <v>680</v>
      </c>
      <c r="G50" s="40" t="n">
        <v>680</v>
      </c>
      <c r="H50" s="20" t="inlineStr">
        <is>
          <t>已支付</t>
        </is>
      </c>
      <c r="I50" s="20" t="inlineStr">
        <is>
          <t>已发货</t>
        </is>
      </c>
    </row>
    <row r="51">
      <c r="A51" s="18" t="inlineStr">
        <is>
          <t>MD-2025070017</t>
        </is>
      </c>
      <c r="B51" s="24" t="n">
        <v>45880</v>
      </c>
      <c r="C51" s="6" t="inlineStr">
        <is>
          <t>郭*文</t>
        </is>
      </c>
      <c r="D51" s="6" t="inlineStr">
        <is>
          <t>随机单盒（早鸟）</t>
        </is>
      </c>
      <c r="E51" s="25" t="n">
        <v>1</v>
      </c>
      <c r="F51" s="38" t="n">
        <v>89</v>
      </c>
      <c r="G51" s="38" t="n">
        <v>89</v>
      </c>
      <c r="H51" s="18" t="inlineStr">
        <is>
          <t>已支付</t>
        </is>
      </c>
      <c r="I51" s="18" t="inlineStr">
        <is>
          <t>已发货</t>
        </is>
      </c>
    </row>
    <row r="52">
      <c r="A52" s="20" t="inlineStr">
        <is>
          <t>MD-2025070018</t>
        </is>
      </c>
      <c r="B52" s="27" t="n">
        <v>45882</v>
      </c>
      <c r="C52" s="8" t="inlineStr">
        <is>
          <t>高*悦</t>
        </is>
      </c>
      <c r="D52" s="8" t="inlineStr">
        <is>
          <t>限量明盒（早鸟）</t>
        </is>
      </c>
      <c r="E52" s="28" t="n">
        <v>1</v>
      </c>
      <c r="F52" s="40" t="n">
        <v>94</v>
      </c>
      <c r="G52" s="40" t="n">
        <v>94</v>
      </c>
      <c r="H52" s="20" t="inlineStr">
        <is>
          <t>已支付</t>
        </is>
      </c>
      <c r="I52" s="20" t="inlineStr">
        <is>
          <t>已发货</t>
        </is>
      </c>
    </row>
    <row r="53">
      <c r="A53" s="18" t="inlineStr">
        <is>
          <t>MD-2025070019</t>
        </is>
      </c>
      <c r="B53" s="24" t="n">
        <v>45861</v>
      </c>
      <c r="C53" s="6" t="inlineStr">
        <is>
          <t>罗*俊</t>
        </is>
      </c>
      <c r="D53" s="6" t="inlineStr">
        <is>
          <t>单盒（常规）</t>
        </is>
      </c>
      <c r="E53" s="25" t="n">
        <v>1</v>
      </c>
      <c r="F53" s="38" t="n">
        <v>95</v>
      </c>
      <c r="G53" s="38" t="n">
        <v>95</v>
      </c>
      <c r="H53" s="18" t="inlineStr">
        <is>
          <t>已支付</t>
        </is>
      </c>
      <c r="I53" s="18" t="inlineStr">
        <is>
          <t>已发货</t>
        </is>
      </c>
    </row>
    <row r="54">
      <c r="A54" s="20" t="inlineStr">
        <is>
          <t>MD-2025070020</t>
        </is>
      </c>
      <c r="B54" s="27" t="n">
        <v>45862</v>
      </c>
      <c r="C54" s="8" t="inlineStr">
        <is>
          <t>梁*婷</t>
        </is>
      </c>
      <c r="D54" s="8" t="inlineStr">
        <is>
          <t>明盒（常规）</t>
        </is>
      </c>
      <c r="E54" s="28" t="n">
        <v>1</v>
      </c>
      <c r="F54" s="40" t="n">
        <v>100</v>
      </c>
      <c r="G54" s="40" t="n">
        <v>100</v>
      </c>
      <c r="H54" s="20" t="inlineStr">
        <is>
          <t>已支付</t>
        </is>
      </c>
      <c r="I54" s="20" t="inlineStr">
        <is>
          <t>已发货</t>
        </is>
      </c>
    </row>
    <row r="55">
      <c r="A55" s="18" t="inlineStr">
        <is>
          <t>MD-2025070021</t>
        </is>
      </c>
      <c r="B55" s="24" t="n">
        <v>45855</v>
      </c>
      <c r="C55" s="6" t="inlineStr">
        <is>
          <t>宋*明</t>
        </is>
      </c>
      <c r="D55" s="6" t="inlineStr">
        <is>
          <t>CP对盒（早鸟）</t>
        </is>
      </c>
      <c r="E55" s="25" t="n">
        <v>1</v>
      </c>
      <c r="F55" s="38" t="n">
        <v>176</v>
      </c>
      <c r="G55" s="38" t="n">
        <v>176</v>
      </c>
      <c r="H55" s="18" t="inlineStr">
        <is>
          <t>已支付</t>
        </is>
      </c>
      <c r="I55" s="18" t="inlineStr">
        <is>
          <t>已发货</t>
        </is>
      </c>
    </row>
    <row r="56">
      <c r="A56" s="20" t="inlineStr">
        <is>
          <t>MD-2025070022</t>
        </is>
      </c>
      <c r="B56" s="27" t="n">
        <v>45876</v>
      </c>
      <c r="C56" s="8" t="inlineStr">
        <is>
          <t>唐*怡</t>
        </is>
      </c>
      <c r="D56" s="8" t="inlineStr">
        <is>
          <t>CP对盒（常规）</t>
        </is>
      </c>
      <c r="E56" s="28" t="n">
        <v>1</v>
      </c>
      <c r="F56" s="40" t="n">
        <v>184</v>
      </c>
      <c r="G56" s="40" t="n">
        <v>184</v>
      </c>
      <c r="H56" s="20" t="inlineStr">
        <is>
          <t>已支付</t>
        </is>
      </c>
      <c r="I56" s="20" t="inlineStr">
        <is>
          <t>已发货</t>
        </is>
      </c>
    </row>
    <row r="57">
      <c r="A57" s="18" t="inlineStr">
        <is>
          <t>MD-2025070023</t>
        </is>
      </c>
      <c r="B57" s="24" t="n">
        <v>45883</v>
      </c>
      <c r="C57" s="6" t="inlineStr">
        <is>
          <t>韩*辰</t>
        </is>
      </c>
      <c r="D57" s="6" t="inlineStr">
        <is>
          <t>端盒（6只）</t>
        </is>
      </c>
      <c r="E57" s="25" t="n">
        <v>1</v>
      </c>
      <c r="F57" s="38" t="n">
        <v>546</v>
      </c>
      <c r="G57" s="38" t="n">
        <v>546</v>
      </c>
      <c r="H57" s="18" t="inlineStr">
        <is>
          <t>已支付</t>
        </is>
      </c>
      <c r="I57" s="18" t="inlineStr">
        <is>
          <t>已发货</t>
        </is>
      </c>
    </row>
    <row r="58">
      <c r="A58" s="20" t="inlineStr">
        <is>
          <t>MD-2025070024</t>
        </is>
      </c>
      <c r="B58" s="27" t="n">
        <v>45871</v>
      </c>
      <c r="C58" s="8" t="inlineStr">
        <is>
          <t>冯*曦</t>
        </is>
      </c>
      <c r="D58" s="8" t="inlineStr">
        <is>
          <t>ALL-IN套装</t>
        </is>
      </c>
      <c r="E58" s="28" t="n">
        <v>1</v>
      </c>
      <c r="F58" s="40" t="n">
        <v>680</v>
      </c>
      <c r="G58" s="40" t="n">
        <v>680</v>
      </c>
      <c r="H58" s="20" t="inlineStr">
        <is>
          <t>已支付</t>
        </is>
      </c>
      <c r="I58" s="20" t="inlineStr">
        <is>
          <t>已发货</t>
        </is>
      </c>
    </row>
    <row r="59">
      <c r="A59" s="18" t="inlineStr">
        <is>
          <t>MD-2025070025</t>
        </is>
      </c>
      <c r="B59" s="24" t="n">
        <v>45881</v>
      </c>
      <c r="C59" s="6" t="inlineStr">
        <is>
          <t>董*雨</t>
        </is>
      </c>
      <c r="D59" s="6" t="inlineStr">
        <is>
          <t>随机单盒（早鸟）</t>
        </is>
      </c>
      <c r="E59" s="25" t="n">
        <v>1</v>
      </c>
      <c r="F59" s="38" t="n">
        <v>89</v>
      </c>
      <c r="G59" s="38" t="n">
        <v>89</v>
      </c>
      <c r="H59" s="18" t="inlineStr">
        <is>
          <t>已支付</t>
        </is>
      </c>
      <c r="I59" s="18" t="inlineStr">
        <is>
          <t>已发货</t>
        </is>
      </c>
    </row>
    <row r="60">
      <c r="A60" s="20" t="inlineStr">
        <is>
          <t>MD-2025070026</t>
        </is>
      </c>
      <c r="B60" s="27" t="n">
        <v>45877</v>
      </c>
      <c r="C60" s="8" t="inlineStr">
        <is>
          <t>袁*华</t>
        </is>
      </c>
      <c r="D60" s="8" t="inlineStr">
        <is>
          <t>限量明盒（早鸟）</t>
        </is>
      </c>
      <c r="E60" s="28" t="n">
        <v>1</v>
      </c>
      <c r="F60" s="40" t="n">
        <v>94</v>
      </c>
      <c r="G60" s="40" t="n">
        <v>94</v>
      </c>
      <c r="H60" s="20" t="inlineStr">
        <is>
          <t>已支付</t>
        </is>
      </c>
      <c r="I60" s="20" t="inlineStr">
        <is>
          <t>已发货</t>
        </is>
      </c>
    </row>
    <row r="61">
      <c r="A61" s="18" t="inlineStr">
        <is>
          <t>MD-2025070027</t>
        </is>
      </c>
      <c r="B61" s="24" t="n">
        <v>45859</v>
      </c>
      <c r="C61" s="6" t="inlineStr">
        <is>
          <t>邓*宇</t>
        </is>
      </c>
      <c r="D61" s="6" t="inlineStr">
        <is>
          <t>单盒（常规）</t>
        </is>
      </c>
      <c r="E61" s="25" t="n">
        <v>1</v>
      </c>
      <c r="F61" s="38" t="n">
        <v>95</v>
      </c>
      <c r="G61" s="38" t="n">
        <v>95</v>
      </c>
      <c r="H61" s="18" t="inlineStr">
        <is>
          <t>已支付</t>
        </is>
      </c>
      <c r="I61" s="18" t="inlineStr">
        <is>
          <t>已发货</t>
        </is>
      </c>
    </row>
    <row r="62">
      <c r="A62" s="20" t="inlineStr">
        <is>
          <t>MD-2025070028</t>
        </is>
      </c>
      <c r="B62" s="27" t="n">
        <v>45871</v>
      </c>
      <c r="C62" s="8" t="inlineStr">
        <is>
          <t>许*涵</t>
        </is>
      </c>
      <c r="D62" s="8" t="inlineStr">
        <is>
          <t>明盒（常规）</t>
        </is>
      </c>
      <c r="E62" s="28" t="n">
        <v>1</v>
      </c>
      <c r="F62" s="40" t="n">
        <v>100</v>
      </c>
      <c r="G62" s="40" t="n">
        <v>100</v>
      </c>
      <c r="H62" s="20" t="inlineStr">
        <is>
          <t>已支付</t>
        </is>
      </c>
      <c r="I62" s="20" t="inlineStr">
        <is>
          <t>已发货</t>
        </is>
      </c>
    </row>
    <row r="63">
      <c r="A63" s="18" t="inlineStr">
        <is>
          <t>MD-2025070029</t>
        </is>
      </c>
      <c r="B63" s="24" t="n">
        <v>45854</v>
      </c>
      <c r="C63" s="6" t="inlineStr">
        <is>
          <t>傅*琪</t>
        </is>
      </c>
      <c r="D63" s="6" t="inlineStr">
        <is>
          <t>CP对盒（早鸟）</t>
        </is>
      </c>
      <c r="E63" s="25" t="n">
        <v>1</v>
      </c>
      <c r="F63" s="38" t="n">
        <v>176</v>
      </c>
      <c r="G63" s="38" t="n">
        <v>176</v>
      </c>
      <c r="H63" s="18" t="inlineStr">
        <is>
          <t>已支付</t>
        </is>
      </c>
      <c r="I63" s="18" t="inlineStr">
        <is>
          <t>已发货</t>
        </is>
      </c>
    </row>
    <row r="64">
      <c r="A64" s="20" t="inlineStr">
        <is>
          <t>MD-2025070030</t>
        </is>
      </c>
      <c r="B64" s="27" t="n">
        <v>45864</v>
      </c>
      <c r="C64" s="8" t="inlineStr">
        <is>
          <t>沈*杰</t>
        </is>
      </c>
      <c r="D64" s="8" t="inlineStr">
        <is>
          <t>CP对盒（常规）</t>
        </is>
      </c>
      <c r="E64" s="28" t="n">
        <v>1</v>
      </c>
      <c r="F64" s="40" t="n">
        <v>184</v>
      </c>
      <c r="G64" s="40" t="n">
        <v>184</v>
      </c>
      <c r="H64" s="20" t="inlineStr">
        <is>
          <t>已支付</t>
        </is>
      </c>
      <c r="I64" s="20" t="inlineStr">
        <is>
          <t>已发货</t>
        </is>
      </c>
    </row>
    <row r="65">
      <c r="A65" s="18" t="inlineStr">
        <is>
          <t>MD-2025070031</t>
        </is>
      </c>
      <c r="B65" s="24" t="n">
        <v>45860</v>
      </c>
      <c r="C65" s="6" t="inlineStr">
        <is>
          <t>曾*琳</t>
        </is>
      </c>
      <c r="D65" s="6" t="inlineStr">
        <is>
          <t>端盒（6只）</t>
        </is>
      </c>
      <c r="E65" s="25" t="n">
        <v>1</v>
      </c>
      <c r="F65" s="38" t="n">
        <v>546</v>
      </c>
      <c r="G65" s="38" t="n">
        <v>546</v>
      </c>
      <c r="H65" s="18" t="inlineStr">
        <is>
          <t>已支付</t>
        </is>
      </c>
      <c r="I65" s="18" t="inlineStr">
        <is>
          <t>已发货</t>
        </is>
      </c>
    </row>
    <row r="66">
      <c r="A66" s="20" t="inlineStr">
        <is>
          <t>MD-2025070032</t>
        </is>
      </c>
      <c r="B66" s="27" t="n">
        <v>45882</v>
      </c>
      <c r="C66" s="8" t="inlineStr">
        <is>
          <t>彭*浩</t>
        </is>
      </c>
      <c r="D66" s="8" t="inlineStr">
        <is>
          <t>ALL-IN套装</t>
        </is>
      </c>
      <c r="E66" s="28" t="n">
        <v>1</v>
      </c>
      <c r="F66" s="40" t="n">
        <v>680</v>
      </c>
      <c r="G66" s="40" t="n">
        <v>680</v>
      </c>
      <c r="H66" s="20" t="inlineStr">
        <is>
          <t>已支付</t>
        </is>
      </c>
      <c r="I66" s="20" t="inlineStr">
        <is>
          <t>已发货</t>
        </is>
      </c>
    </row>
    <row r="67">
      <c r="A67" s="18" t="inlineStr">
        <is>
          <t>MD-2025070033</t>
        </is>
      </c>
      <c r="B67" s="24" t="n">
        <v>45855</v>
      </c>
      <c r="C67" s="6" t="inlineStr">
        <is>
          <t>吕*静</t>
        </is>
      </c>
      <c r="D67" s="6" t="inlineStr">
        <is>
          <t>随机单盒（早鸟）</t>
        </is>
      </c>
      <c r="E67" s="25" t="n">
        <v>1</v>
      </c>
      <c r="F67" s="38" t="n">
        <v>89</v>
      </c>
      <c r="G67" s="38" t="n">
        <v>89</v>
      </c>
      <c r="H67" s="18" t="inlineStr">
        <is>
          <t>已支付</t>
        </is>
      </c>
      <c r="I67" s="18" t="inlineStr">
        <is>
          <t>已发货</t>
        </is>
      </c>
    </row>
    <row r="68">
      <c r="A68" s="20" t="inlineStr">
        <is>
          <t>MD-2025070034</t>
        </is>
      </c>
      <c r="B68" s="27" t="n">
        <v>45856</v>
      </c>
      <c r="C68" s="8" t="inlineStr">
        <is>
          <t>苏*航</t>
        </is>
      </c>
      <c r="D68" s="8" t="inlineStr">
        <is>
          <t>限量明盒（早鸟）</t>
        </is>
      </c>
      <c r="E68" s="28" t="n">
        <v>1</v>
      </c>
      <c r="F68" s="40" t="n">
        <v>94</v>
      </c>
      <c r="G68" s="40" t="n">
        <v>94</v>
      </c>
      <c r="H68" s="20" t="inlineStr">
        <is>
          <t>已支付</t>
        </is>
      </c>
      <c r="I68" s="20" t="inlineStr">
        <is>
          <t>已发货</t>
        </is>
      </c>
    </row>
    <row r="69">
      <c r="A69" s="18" t="inlineStr">
        <is>
          <t>MD-2025070035</t>
        </is>
      </c>
      <c r="B69" s="24" t="n">
        <v>45875</v>
      </c>
      <c r="C69" s="6" t="inlineStr">
        <is>
          <t>卢*雅</t>
        </is>
      </c>
      <c r="D69" s="6" t="inlineStr">
        <is>
          <t>单盒（常规）</t>
        </is>
      </c>
      <c r="E69" s="25" t="n">
        <v>1</v>
      </c>
      <c r="F69" s="38" t="n">
        <v>95</v>
      </c>
      <c r="G69" s="38" t="n">
        <v>95</v>
      </c>
      <c r="H69" s="18" t="inlineStr">
        <is>
          <t>已支付</t>
        </is>
      </c>
      <c r="I69" s="18" t="inlineStr">
        <is>
          <t>已发货</t>
        </is>
      </c>
    </row>
    <row r="70">
      <c r="A70" s="20" t="inlineStr">
        <is>
          <t>MD-2025070036</t>
        </is>
      </c>
      <c r="B70" s="27" t="n">
        <v>45876</v>
      </c>
      <c r="C70" s="8" t="inlineStr">
        <is>
          <t>蒋*洋</t>
        </is>
      </c>
      <c r="D70" s="8" t="inlineStr">
        <is>
          <t>明盒（常规）</t>
        </is>
      </c>
      <c r="E70" s="28" t="n">
        <v>1</v>
      </c>
      <c r="F70" s="40" t="n">
        <v>100</v>
      </c>
      <c r="G70" s="40" t="n">
        <v>100</v>
      </c>
      <c r="H70" s="20" t="inlineStr">
        <is>
          <t>已支付</t>
        </is>
      </c>
      <c r="I70" s="20" t="inlineStr">
        <is>
          <t>已发货</t>
        </is>
      </c>
    </row>
    <row r="71">
      <c r="A71" s="18" t="inlineStr">
        <is>
          <t>MD-2025070037</t>
        </is>
      </c>
      <c r="B71" s="24" t="n">
        <v>45853</v>
      </c>
      <c r="C71" s="6" t="inlineStr">
        <is>
          <t>蔡*颖</t>
        </is>
      </c>
      <c r="D71" s="6" t="inlineStr">
        <is>
          <t>CP对盒（早鸟）</t>
        </is>
      </c>
      <c r="E71" s="25" t="n">
        <v>1</v>
      </c>
      <c r="F71" s="38" t="n">
        <v>176</v>
      </c>
      <c r="G71" s="38" t="n">
        <v>176</v>
      </c>
      <c r="H71" s="18" t="inlineStr">
        <is>
          <t>已支付</t>
        </is>
      </c>
      <c r="I71" s="18" t="inlineStr">
        <is>
          <t>已发货</t>
        </is>
      </c>
    </row>
    <row r="72">
      <c r="A72" s="20" t="inlineStr">
        <is>
          <t>MD-2025070038</t>
        </is>
      </c>
      <c r="B72" s="27" t="n">
        <v>45870</v>
      </c>
      <c r="C72" s="8" t="inlineStr">
        <is>
          <t>贾*翔</t>
        </is>
      </c>
      <c r="D72" s="8" t="inlineStr">
        <is>
          <t>CP对盒（常规）</t>
        </is>
      </c>
      <c r="E72" s="28" t="n">
        <v>1</v>
      </c>
      <c r="F72" s="40" t="n">
        <v>184</v>
      </c>
      <c r="G72" s="40" t="n">
        <v>184</v>
      </c>
      <c r="H72" s="20" t="inlineStr">
        <is>
          <t>已支付</t>
        </is>
      </c>
      <c r="I72" s="20" t="inlineStr">
        <is>
          <t>已发货</t>
        </is>
      </c>
    </row>
    <row r="73">
      <c r="A73" s="18" t="inlineStr">
        <is>
          <t>MD-2025070039</t>
        </is>
      </c>
      <c r="B73" s="24" t="n">
        <v>45877</v>
      </c>
      <c r="C73" s="6" t="inlineStr">
        <is>
          <t>丁*琪</t>
        </is>
      </c>
      <c r="D73" s="6" t="inlineStr">
        <is>
          <t>端盒（6只）</t>
        </is>
      </c>
      <c r="E73" s="25" t="n">
        <v>1</v>
      </c>
      <c r="F73" s="38" t="n">
        <v>546</v>
      </c>
      <c r="G73" s="38" t="n">
        <v>546</v>
      </c>
      <c r="H73" s="18" t="inlineStr">
        <is>
          <t>已支付</t>
        </is>
      </c>
      <c r="I73" s="18" t="inlineStr">
        <is>
          <t>已发货</t>
        </is>
      </c>
    </row>
    <row r="74">
      <c r="A74" s="20" t="inlineStr">
        <is>
          <t>MD-2025070040</t>
        </is>
      </c>
      <c r="B74" s="27" t="n">
        <v>45871</v>
      </c>
      <c r="C74" s="8" t="inlineStr">
        <is>
          <t>魏*凯</t>
        </is>
      </c>
      <c r="D74" s="8" t="inlineStr">
        <is>
          <t>ALL-IN套装</t>
        </is>
      </c>
      <c r="E74" s="28" t="n">
        <v>1</v>
      </c>
      <c r="F74" s="40" t="n">
        <v>680</v>
      </c>
      <c r="G74" s="40" t="n">
        <v>680</v>
      </c>
      <c r="H74" s="20" t="inlineStr">
        <is>
          <t>已支付</t>
        </is>
      </c>
      <c r="I74" s="20" t="inlineStr">
        <is>
          <t>已发货</t>
        </is>
      </c>
    </row>
    <row r="75">
      <c r="A75" s="18" t="inlineStr">
        <is>
          <t>MD-2025070041</t>
        </is>
      </c>
      <c r="B75" s="24" t="n">
        <v>45854</v>
      </c>
      <c r="C75" s="6" t="inlineStr">
        <is>
          <t>薛*萌</t>
        </is>
      </c>
      <c r="D75" s="6" t="inlineStr">
        <is>
          <t>随机单盒（早鸟）</t>
        </is>
      </c>
      <c r="E75" s="25" t="n">
        <v>1</v>
      </c>
      <c r="F75" s="38" t="n">
        <v>89</v>
      </c>
      <c r="G75" s="38" t="n">
        <v>89</v>
      </c>
      <c r="H75" s="18" t="inlineStr">
        <is>
          <t>已支付</t>
        </is>
      </c>
      <c r="I75" s="18" t="inlineStr">
        <is>
          <t>已发货</t>
        </is>
      </c>
    </row>
    <row r="76">
      <c r="A76" s="20" t="inlineStr">
        <is>
          <t>MD-2025070042</t>
        </is>
      </c>
      <c r="B76" s="27" t="n">
        <v>45855</v>
      </c>
      <c r="C76" s="8" t="inlineStr">
        <is>
          <t>叶*飞</t>
        </is>
      </c>
      <c r="D76" s="8" t="inlineStr">
        <is>
          <t>限量明盒（早鸟）</t>
        </is>
      </c>
      <c r="E76" s="28" t="n">
        <v>1</v>
      </c>
      <c r="F76" s="40" t="n">
        <v>94</v>
      </c>
      <c r="G76" s="40" t="n">
        <v>94</v>
      </c>
      <c r="H76" s="20" t="inlineStr">
        <is>
          <t>已支付</t>
        </is>
      </c>
      <c r="I76" s="20" t="inlineStr">
        <is>
          <t>已发货</t>
        </is>
      </c>
    </row>
    <row r="77">
      <c r="A77" s="18" t="inlineStr">
        <is>
          <t>MD-2025070043</t>
        </is>
      </c>
      <c r="B77" s="24" t="n">
        <v>45877</v>
      </c>
      <c r="C77" s="6" t="inlineStr">
        <is>
          <t>阎*琳</t>
        </is>
      </c>
      <c r="D77" s="6" t="inlineStr">
        <is>
          <t>单盒（常规）</t>
        </is>
      </c>
      <c r="E77" s="25" t="n">
        <v>1</v>
      </c>
      <c r="F77" s="38" t="n">
        <v>95</v>
      </c>
      <c r="G77" s="38" t="n">
        <v>95</v>
      </c>
      <c r="H77" s="18" t="inlineStr">
        <is>
          <t>已支付</t>
        </is>
      </c>
      <c r="I77" s="18" t="inlineStr">
        <is>
          <t>已发货</t>
        </is>
      </c>
    </row>
    <row r="78">
      <c r="A78" s="20" t="inlineStr">
        <is>
          <t>MD-2025070044</t>
        </is>
      </c>
      <c r="B78" s="27" t="n">
        <v>45876</v>
      </c>
      <c r="C78" s="8" t="inlineStr">
        <is>
          <t>余*泽</t>
        </is>
      </c>
      <c r="D78" s="8" t="inlineStr">
        <is>
          <t>明盒（常规）</t>
        </is>
      </c>
      <c r="E78" s="28" t="n">
        <v>1</v>
      </c>
      <c r="F78" s="40" t="n">
        <v>100</v>
      </c>
      <c r="G78" s="40" t="n">
        <v>100</v>
      </c>
      <c r="H78" s="20" t="inlineStr">
        <is>
          <t>已支付</t>
        </is>
      </c>
      <c r="I78" s="20" t="inlineStr">
        <is>
          <t>已发货</t>
        </is>
      </c>
    </row>
    <row r="79">
      <c r="A79" s="18" t="inlineStr">
        <is>
          <t>MD-2025070045</t>
        </is>
      </c>
      <c r="B79" s="24" t="n">
        <v>45877</v>
      </c>
      <c r="C79" s="6" t="inlineStr">
        <is>
          <t>潘*瑶</t>
        </is>
      </c>
      <c r="D79" s="6" t="inlineStr">
        <is>
          <t>CP对盒（早鸟）</t>
        </is>
      </c>
      <c r="E79" s="25" t="n">
        <v>1</v>
      </c>
      <c r="F79" s="38" t="n">
        <v>176</v>
      </c>
      <c r="G79" s="38" t="n">
        <v>176</v>
      </c>
      <c r="H79" s="18" t="inlineStr">
        <is>
          <t>已支付</t>
        </is>
      </c>
      <c r="I79" s="18" t="inlineStr">
        <is>
          <t>已发货</t>
        </is>
      </c>
    </row>
    <row r="80">
      <c r="A80" s="20" t="inlineStr">
        <is>
          <t>MD-2025070046</t>
        </is>
      </c>
      <c r="B80" s="27" t="n">
        <v>45870</v>
      </c>
      <c r="C80" s="8" t="inlineStr">
        <is>
          <t>杜*昊</t>
        </is>
      </c>
      <c r="D80" s="8" t="inlineStr">
        <is>
          <t>CP对盒（常规）</t>
        </is>
      </c>
      <c r="E80" s="28" t="n">
        <v>1</v>
      </c>
      <c r="F80" s="40" t="n">
        <v>184</v>
      </c>
      <c r="G80" s="40" t="n">
        <v>184</v>
      </c>
      <c r="H80" s="20" t="inlineStr">
        <is>
          <t>已支付</t>
        </is>
      </c>
      <c r="I80" s="20" t="inlineStr">
        <is>
          <t>已发货</t>
        </is>
      </c>
    </row>
    <row r="81">
      <c r="A81" s="18" t="inlineStr">
        <is>
          <t>MD-2025070047</t>
        </is>
      </c>
      <c r="B81" s="24" t="n">
        <v>45881</v>
      </c>
      <c r="C81" s="6" t="inlineStr">
        <is>
          <t>戴*婷</t>
        </is>
      </c>
      <c r="D81" s="6" t="inlineStr">
        <is>
          <t>端盒（6只）</t>
        </is>
      </c>
      <c r="E81" s="25" t="n">
        <v>1</v>
      </c>
      <c r="F81" s="38" t="n">
        <v>546</v>
      </c>
      <c r="G81" s="38" t="n">
        <v>546</v>
      </c>
      <c r="H81" s="18" t="inlineStr">
        <is>
          <t>已支付</t>
        </is>
      </c>
      <c r="I81" s="18" t="inlineStr">
        <is>
          <t>已发货</t>
        </is>
      </c>
    </row>
    <row r="82">
      <c r="A82" s="20" t="inlineStr">
        <is>
          <t>MD-2025070048</t>
        </is>
      </c>
      <c r="B82" s="27" t="n">
        <v>45868</v>
      </c>
      <c r="C82" s="8" t="inlineStr">
        <is>
          <t>夏*晨</t>
        </is>
      </c>
      <c r="D82" s="8" t="inlineStr">
        <is>
          <t>ALL-IN套装</t>
        </is>
      </c>
      <c r="E82" s="28" t="n">
        <v>1</v>
      </c>
      <c r="F82" s="40" t="n">
        <v>680</v>
      </c>
      <c r="G82" s="40" t="n">
        <v>680</v>
      </c>
      <c r="H82" s="20" t="inlineStr">
        <is>
          <t>已支付</t>
        </is>
      </c>
      <c r="I82" s="20" t="inlineStr">
        <is>
          <t>已发货</t>
        </is>
      </c>
    </row>
    <row r="83">
      <c r="A83" s="18" t="inlineStr">
        <is>
          <t>MD-2025070049</t>
        </is>
      </c>
      <c r="B83" s="24" t="n">
        <v>45858</v>
      </c>
      <c r="C83" s="6" t="inlineStr">
        <is>
          <t>钟*宇</t>
        </is>
      </c>
      <c r="D83" s="6" t="inlineStr">
        <is>
          <t>随机单盒（早鸟）</t>
        </is>
      </c>
      <c r="E83" s="25" t="n">
        <v>1</v>
      </c>
      <c r="F83" s="38" t="n">
        <v>89</v>
      </c>
      <c r="G83" s="38" t="n">
        <v>89</v>
      </c>
      <c r="H83" s="18" t="inlineStr">
        <is>
          <t>已支付</t>
        </is>
      </c>
      <c r="I83" s="18" t="inlineStr">
        <is>
          <t>已发货</t>
        </is>
      </c>
    </row>
    <row r="84">
      <c r="A84" s="20" t="inlineStr">
        <is>
          <t>MD-2025070050</t>
        </is>
      </c>
      <c r="B84" s="27" t="n">
        <v>45881</v>
      </c>
      <c r="C84" s="8" t="inlineStr">
        <is>
          <t>姚*萌</t>
        </is>
      </c>
      <c r="D84" s="8" t="inlineStr">
        <is>
          <t>限量明盒（早鸟）</t>
        </is>
      </c>
      <c r="E84" s="28" t="n">
        <v>1</v>
      </c>
      <c r="F84" s="40" t="n">
        <v>94</v>
      </c>
      <c r="G84" s="40" t="n">
        <v>94</v>
      </c>
      <c r="H84" s="20" t="inlineStr">
        <is>
          <t>已支付</t>
        </is>
      </c>
      <c r="I84" s="20" t="inlineStr">
        <is>
          <t>已发货</t>
        </is>
      </c>
    </row>
    <row r="85">
      <c r="A85" s="18" t="inlineStr">
        <is>
          <t>MD-2025070051</t>
        </is>
      </c>
      <c r="B85" s="24" t="n">
        <v>45866</v>
      </c>
      <c r="C85" s="6" t="inlineStr">
        <is>
          <t>汪*瑾</t>
        </is>
      </c>
      <c r="D85" s="6" t="inlineStr">
        <is>
          <t>单盒（常规）</t>
        </is>
      </c>
      <c r="E85" s="25" t="n">
        <v>1</v>
      </c>
      <c r="F85" s="38" t="n">
        <v>95</v>
      </c>
      <c r="G85" s="38" t="n">
        <v>95</v>
      </c>
      <c r="H85" s="18" t="inlineStr">
        <is>
          <t>已支付</t>
        </is>
      </c>
      <c r="I85" s="18" t="inlineStr">
        <is>
          <t>已发货</t>
        </is>
      </c>
    </row>
    <row r="86">
      <c r="A86" s="20" t="inlineStr">
        <is>
          <t>MD-2025070052</t>
        </is>
      </c>
      <c r="B86" s="27" t="n">
        <v>45878</v>
      </c>
      <c r="C86" s="8" t="inlineStr">
        <is>
          <t>田*峰</t>
        </is>
      </c>
      <c r="D86" s="8" t="inlineStr">
        <is>
          <t>明盒（常规）</t>
        </is>
      </c>
      <c r="E86" s="28" t="n">
        <v>1</v>
      </c>
      <c r="F86" s="40" t="n">
        <v>100</v>
      </c>
      <c r="G86" s="40" t="n">
        <v>100</v>
      </c>
      <c r="H86" s="20" t="inlineStr">
        <is>
          <t>已支付</t>
        </is>
      </c>
      <c r="I86" s="20" t="inlineStr">
        <is>
          <t>已发货</t>
        </is>
      </c>
    </row>
    <row r="87">
      <c r="A87" s="18" t="inlineStr">
        <is>
          <t>MD-2025070053</t>
        </is>
      </c>
      <c r="B87" s="24" t="n">
        <v>45858</v>
      </c>
      <c r="C87" s="6" t="inlineStr">
        <is>
          <t>任*滢</t>
        </is>
      </c>
      <c r="D87" s="6" t="inlineStr">
        <is>
          <t>CP对盒（早鸟）</t>
        </is>
      </c>
      <c r="E87" s="25" t="n">
        <v>1</v>
      </c>
      <c r="F87" s="38" t="n">
        <v>176</v>
      </c>
      <c r="G87" s="38" t="n">
        <v>176</v>
      </c>
      <c r="H87" s="18" t="inlineStr">
        <is>
          <t>已支付</t>
        </is>
      </c>
      <c r="I87" s="18" t="inlineStr">
        <is>
          <t>已发货</t>
        </is>
      </c>
    </row>
    <row r="88">
      <c r="A88" s="20" t="inlineStr">
        <is>
          <t>MD-2025070054</t>
        </is>
      </c>
      <c r="B88" s="27" t="n">
        <v>45857</v>
      </c>
      <c r="C88" s="8" t="inlineStr">
        <is>
          <t>姜*祥</t>
        </is>
      </c>
      <c r="D88" s="8" t="inlineStr">
        <is>
          <t>CP对盒（常规）</t>
        </is>
      </c>
      <c r="E88" s="28" t="n">
        <v>1</v>
      </c>
      <c r="F88" s="40" t="n">
        <v>184</v>
      </c>
      <c r="G88" s="40" t="n">
        <v>184</v>
      </c>
      <c r="H88" s="20" t="inlineStr">
        <is>
          <t>已支付</t>
        </is>
      </c>
      <c r="I88" s="20" t="inlineStr">
        <is>
          <t>已发货</t>
        </is>
      </c>
    </row>
    <row r="89">
      <c r="A89" s="18" t="inlineStr">
        <is>
          <t>MD-2025070055</t>
        </is>
      </c>
      <c r="B89" s="24" t="n">
        <v>45857</v>
      </c>
      <c r="C89" s="6" t="inlineStr">
        <is>
          <t>范*萱</t>
        </is>
      </c>
      <c r="D89" s="6" t="inlineStr">
        <is>
          <t>端盒（6只）</t>
        </is>
      </c>
      <c r="E89" s="25" t="n">
        <v>1</v>
      </c>
      <c r="F89" s="38" t="n">
        <v>546</v>
      </c>
      <c r="G89" s="38" t="n">
        <v>546</v>
      </c>
      <c r="H89" s="18" t="inlineStr">
        <is>
          <t>已支付</t>
        </is>
      </c>
      <c r="I89" s="18" t="inlineStr">
        <is>
          <t>已发货</t>
        </is>
      </c>
    </row>
    <row r="90">
      <c r="A90" s="20" t="inlineStr">
        <is>
          <t>MD-2025070056</t>
        </is>
      </c>
      <c r="B90" s="27" t="n">
        <v>45873</v>
      </c>
      <c r="C90" s="8" t="inlineStr">
        <is>
          <t>方*博</t>
        </is>
      </c>
      <c r="D90" s="8" t="inlineStr">
        <is>
          <t>ALL-IN套装</t>
        </is>
      </c>
      <c r="E90" s="28" t="n">
        <v>1</v>
      </c>
      <c r="F90" s="40" t="n">
        <v>680</v>
      </c>
      <c r="G90" s="40" t="n">
        <v>680</v>
      </c>
      <c r="H90" s="20" t="inlineStr">
        <is>
          <t>已支付</t>
        </is>
      </c>
      <c r="I90" s="20" t="inlineStr">
        <is>
          <t>已发货</t>
        </is>
      </c>
    </row>
    <row r="91">
      <c r="A91" s="18" t="inlineStr">
        <is>
          <t>MD-2025070057</t>
        </is>
      </c>
      <c r="B91" s="24" t="n">
        <v>45861</v>
      </c>
      <c r="C91" s="6" t="inlineStr">
        <is>
          <t>石*淇</t>
        </is>
      </c>
      <c r="D91" s="6" t="inlineStr">
        <is>
          <t>随机单盒（早鸟）</t>
        </is>
      </c>
      <c r="E91" s="25" t="n">
        <v>1</v>
      </c>
      <c r="F91" s="38" t="n">
        <v>89</v>
      </c>
      <c r="G91" s="38" t="n">
        <v>89</v>
      </c>
      <c r="H91" s="18" t="inlineStr">
        <is>
          <t>已支付</t>
        </is>
      </c>
      <c r="I91" s="18" t="inlineStr">
        <is>
          <t>已发货</t>
        </is>
      </c>
    </row>
    <row r="92">
      <c r="A92" s="20" t="inlineStr">
        <is>
          <t>MD-2025070058</t>
        </is>
      </c>
      <c r="B92" s="27" t="n">
        <v>45855</v>
      </c>
      <c r="C92" s="8" t="inlineStr">
        <is>
          <t>廖*然</t>
        </is>
      </c>
      <c r="D92" s="8" t="inlineStr">
        <is>
          <t>限量明盒（早鸟）</t>
        </is>
      </c>
      <c r="E92" s="28" t="n">
        <v>1</v>
      </c>
      <c r="F92" s="40" t="n">
        <v>94</v>
      </c>
      <c r="G92" s="40" t="n">
        <v>94</v>
      </c>
      <c r="H92" s="20" t="inlineStr">
        <is>
          <t>已支付</t>
        </is>
      </c>
      <c r="I92" s="20" t="inlineStr">
        <is>
          <t>已发货</t>
        </is>
      </c>
    </row>
    <row r="93">
      <c r="A93" s="18" t="inlineStr">
        <is>
          <t>MD-2025070059</t>
        </is>
      </c>
      <c r="B93" s="24" t="n">
        <v>45878</v>
      </c>
      <c r="C93" s="6" t="inlineStr">
        <is>
          <t>邹*远</t>
        </is>
      </c>
      <c r="D93" s="6" t="inlineStr">
        <is>
          <t>单盒（常规）</t>
        </is>
      </c>
      <c r="E93" s="25" t="n">
        <v>1</v>
      </c>
      <c r="F93" s="38" t="n">
        <v>95</v>
      </c>
      <c r="G93" s="38" t="n">
        <v>95</v>
      </c>
      <c r="H93" s="18" t="inlineStr">
        <is>
          <t>已支付</t>
        </is>
      </c>
      <c r="I93" s="18" t="inlineStr">
        <is>
          <t>已发货</t>
        </is>
      </c>
    </row>
    <row r="94">
      <c r="A94" s="20" t="inlineStr">
        <is>
          <t>MD-2025070060</t>
        </is>
      </c>
      <c r="B94" s="27" t="n">
        <v>45858</v>
      </c>
      <c r="C94" s="8" t="inlineStr">
        <is>
          <t>熊*慧</t>
        </is>
      </c>
      <c r="D94" s="8" t="inlineStr">
        <is>
          <t>明盒（常规）</t>
        </is>
      </c>
      <c r="E94" s="28" t="n">
        <v>1</v>
      </c>
      <c r="F94" s="40" t="n">
        <v>100</v>
      </c>
      <c r="G94" s="40" t="n">
        <v>100</v>
      </c>
      <c r="H94" s="20" t="inlineStr">
        <is>
          <t>已支付</t>
        </is>
      </c>
      <c r="I94" s="20" t="inlineStr">
        <is>
          <t>已发货</t>
        </is>
      </c>
    </row>
    <row r="95">
      <c r="A95" s="18" t="inlineStr">
        <is>
          <t>MD-2025070061</t>
        </is>
      </c>
      <c r="B95" s="24" t="n">
        <v>45867</v>
      </c>
      <c r="C95" s="6" t="inlineStr">
        <is>
          <t>金*铭</t>
        </is>
      </c>
      <c r="D95" s="6" t="inlineStr">
        <is>
          <t>CP对盒（早鸟）</t>
        </is>
      </c>
      <c r="E95" s="25" t="n">
        <v>1</v>
      </c>
      <c r="F95" s="38" t="n">
        <v>176</v>
      </c>
      <c r="G95" s="38" t="n">
        <v>176</v>
      </c>
      <c r="H95" s="18" t="inlineStr">
        <is>
          <t>已支付</t>
        </is>
      </c>
      <c r="I95" s="18" t="inlineStr">
        <is>
          <t>已发货</t>
        </is>
      </c>
    </row>
    <row r="96">
      <c r="A96" s="20" t="inlineStr">
        <is>
          <t>MD-2025070062</t>
        </is>
      </c>
      <c r="B96" s="27" t="n">
        <v>45862</v>
      </c>
      <c r="C96" s="8" t="inlineStr">
        <is>
          <t>陆*豪</t>
        </is>
      </c>
      <c r="D96" s="8" t="inlineStr">
        <is>
          <t>CP对盒（常规）</t>
        </is>
      </c>
      <c r="E96" s="28" t="n">
        <v>1</v>
      </c>
      <c r="F96" s="40" t="n">
        <v>184</v>
      </c>
      <c r="G96" s="40" t="n">
        <v>184</v>
      </c>
      <c r="H96" s="20" t="inlineStr">
        <is>
          <t>已支付</t>
        </is>
      </c>
      <c r="I96" s="20" t="inlineStr">
        <is>
          <t>已发货</t>
        </is>
      </c>
    </row>
    <row r="97">
      <c r="A97" s="18" t="inlineStr">
        <is>
          <t>MD-2025070063</t>
        </is>
      </c>
      <c r="B97" s="24" t="n">
        <v>45855</v>
      </c>
      <c r="C97" s="6" t="inlineStr">
        <is>
          <t>郝*妍</t>
        </is>
      </c>
      <c r="D97" s="6" t="inlineStr">
        <is>
          <t>端盒（6只）</t>
        </is>
      </c>
      <c r="E97" s="25" t="n">
        <v>1</v>
      </c>
      <c r="F97" s="38" t="n">
        <v>546</v>
      </c>
      <c r="G97" s="38" t="n">
        <v>546</v>
      </c>
      <c r="H97" s="18" t="inlineStr">
        <is>
          <t>已支付</t>
        </is>
      </c>
      <c r="I97" s="18" t="inlineStr">
        <is>
          <t>已发货</t>
        </is>
      </c>
    </row>
    <row r="98">
      <c r="A98" s="20" t="inlineStr">
        <is>
          <t>MD-2025070064</t>
        </is>
      </c>
      <c r="B98" s="27" t="n">
        <v>45875</v>
      </c>
      <c r="C98" s="8" t="inlineStr">
        <is>
          <t>孔*阳</t>
        </is>
      </c>
      <c r="D98" s="8" t="inlineStr">
        <is>
          <t>ALL-IN套装</t>
        </is>
      </c>
      <c r="E98" s="28" t="n">
        <v>1</v>
      </c>
      <c r="F98" s="40" t="n">
        <v>680</v>
      </c>
      <c r="G98" s="40" t="n">
        <v>680</v>
      </c>
      <c r="H98" s="20" t="inlineStr">
        <is>
          <t>已支付</t>
        </is>
      </c>
      <c r="I98" s="20" t="inlineStr">
        <is>
          <t>已发货</t>
        </is>
      </c>
    </row>
    <row r="99">
      <c r="A99" s="18" t="inlineStr">
        <is>
          <t>MD-2025070065</t>
        </is>
      </c>
      <c r="B99" s="24" t="n">
        <v>45854</v>
      </c>
      <c r="C99" s="6" t="inlineStr">
        <is>
          <t>白*萌</t>
        </is>
      </c>
      <c r="D99" s="6" t="inlineStr">
        <is>
          <t>随机单盒（早鸟）</t>
        </is>
      </c>
      <c r="E99" s="25" t="n">
        <v>1</v>
      </c>
      <c r="F99" s="38" t="n">
        <v>89</v>
      </c>
      <c r="G99" s="38" t="n">
        <v>89</v>
      </c>
      <c r="H99" s="18" t="inlineStr">
        <is>
          <t>已支付</t>
        </is>
      </c>
      <c r="I99" s="18" t="inlineStr">
        <is>
          <t>已发货</t>
        </is>
      </c>
    </row>
    <row r="100">
      <c r="A100" s="20" t="inlineStr">
        <is>
          <t>MD-2025070066</t>
        </is>
      </c>
      <c r="B100" s="27" t="n">
        <v>45858</v>
      </c>
      <c r="C100" s="8" t="inlineStr">
        <is>
          <t>崔*杰</t>
        </is>
      </c>
      <c r="D100" s="8" t="inlineStr">
        <is>
          <t>限量明盒（早鸟）</t>
        </is>
      </c>
      <c r="E100" s="28" t="n">
        <v>1</v>
      </c>
      <c r="F100" s="40" t="n">
        <v>94</v>
      </c>
      <c r="G100" s="40" t="n">
        <v>94</v>
      </c>
      <c r="H100" s="20" t="inlineStr">
        <is>
          <t>已支付</t>
        </is>
      </c>
      <c r="I100" s="20" t="inlineStr">
        <is>
          <t>已发货</t>
        </is>
      </c>
    </row>
    <row r="101">
      <c r="A101" s="18" t="inlineStr">
        <is>
          <t>MD-2025070067</t>
        </is>
      </c>
      <c r="B101" s="24" t="n">
        <v>45871</v>
      </c>
      <c r="C101" s="6" t="inlineStr">
        <is>
          <t>康*悦</t>
        </is>
      </c>
      <c r="D101" s="6" t="inlineStr">
        <is>
          <t>单盒（常规）</t>
        </is>
      </c>
      <c r="E101" s="25" t="n">
        <v>1</v>
      </c>
      <c r="F101" s="38" t="n">
        <v>95</v>
      </c>
      <c r="G101" s="38" t="n">
        <v>95</v>
      </c>
      <c r="H101" s="18" t="inlineStr">
        <is>
          <t>已支付</t>
        </is>
      </c>
      <c r="I101" s="18" t="inlineStr">
        <is>
          <t>已发货</t>
        </is>
      </c>
    </row>
    <row r="102">
      <c r="A102" s="20" t="inlineStr">
        <is>
          <t>MD-2025070068</t>
        </is>
      </c>
      <c r="B102" s="27" t="n">
        <v>45875</v>
      </c>
      <c r="C102" s="8" t="inlineStr">
        <is>
          <t>毛*浩</t>
        </is>
      </c>
      <c r="D102" s="8" t="inlineStr">
        <is>
          <t>明盒（常规）</t>
        </is>
      </c>
      <c r="E102" s="28" t="n">
        <v>1</v>
      </c>
      <c r="F102" s="40" t="n">
        <v>100</v>
      </c>
      <c r="G102" s="40" t="n">
        <v>100</v>
      </c>
      <c r="H102" s="20" t="inlineStr">
        <is>
          <t>已支付</t>
        </is>
      </c>
      <c r="I102" s="20" t="inlineStr">
        <is>
          <t>已发货</t>
        </is>
      </c>
    </row>
    <row r="103">
      <c r="A103" s="18" t="inlineStr">
        <is>
          <t>MD-2025070069</t>
        </is>
      </c>
      <c r="B103" s="24" t="n">
        <v>45855</v>
      </c>
      <c r="C103" s="6" t="inlineStr">
        <is>
          <t>邱*琳</t>
        </is>
      </c>
      <c r="D103" s="6" t="inlineStr">
        <is>
          <t>CP对盒（早鸟）</t>
        </is>
      </c>
      <c r="E103" s="25" t="n">
        <v>1</v>
      </c>
      <c r="F103" s="38" t="n">
        <v>176</v>
      </c>
      <c r="G103" s="38" t="n">
        <v>176</v>
      </c>
      <c r="H103" s="18" t="inlineStr">
        <is>
          <t>已支付</t>
        </is>
      </c>
      <c r="I103" s="18" t="inlineStr">
        <is>
          <t>已发货</t>
        </is>
      </c>
    </row>
    <row r="104">
      <c r="A104" s="20" t="inlineStr">
        <is>
          <t>MD-2025070070</t>
        </is>
      </c>
      <c r="B104" s="27" t="n">
        <v>45859</v>
      </c>
      <c r="C104" s="8" t="inlineStr">
        <is>
          <t>秦*朗</t>
        </is>
      </c>
      <c r="D104" s="8" t="inlineStr">
        <is>
          <t>CP对盒（常规）</t>
        </is>
      </c>
      <c r="E104" s="28" t="n">
        <v>1</v>
      </c>
      <c r="F104" s="40" t="n">
        <v>184</v>
      </c>
      <c r="G104" s="40" t="n">
        <v>184</v>
      </c>
      <c r="H104" s="20" t="inlineStr">
        <is>
          <t>已支付</t>
        </is>
      </c>
      <c r="I104" s="20" t="inlineStr">
        <is>
          <t>已发货</t>
        </is>
      </c>
    </row>
    <row r="105">
      <c r="A105" s="18" t="inlineStr">
        <is>
          <t>MD-2025070071</t>
        </is>
      </c>
      <c r="B105" s="24" t="n">
        <v>45869</v>
      </c>
      <c r="C105" s="6" t="inlineStr">
        <is>
          <t>江*洁</t>
        </is>
      </c>
      <c r="D105" s="6" t="inlineStr">
        <is>
          <t>端盒（6只）</t>
        </is>
      </c>
      <c r="E105" s="25" t="n">
        <v>1</v>
      </c>
      <c r="F105" s="38" t="n">
        <v>546</v>
      </c>
      <c r="G105" s="38" t="n">
        <v>546</v>
      </c>
      <c r="H105" s="18" t="inlineStr">
        <is>
          <t>已支付</t>
        </is>
      </c>
      <c r="I105" s="18" t="inlineStr">
        <is>
          <t>已发货</t>
        </is>
      </c>
    </row>
    <row r="106">
      <c r="A106" s="20" t="inlineStr">
        <is>
          <t>MD-2025070072</t>
        </is>
      </c>
      <c r="B106" s="27" t="n">
        <v>45863</v>
      </c>
      <c r="C106" s="8" t="inlineStr">
        <is>
          <t>史*辰</t>
        </is>
      </c>
      <c r="D106" s="8" t="inlineStr">
        <is>
          <t>ALL-IN套装</t>
        </is>
      </c>
      <c r="E106" s="28" t="n">
        <v>1</v>
      </c>
      <c r="F106" s="40" t="n">
        <v>680</v>
      </c>
      <c r="G106" s="40" t="n">
        <v>680</v>
      </c>
      <c r="H106" s="20" t="inlineStr">
        <is>
          <t>已支付</t>
        </is>
      </c>
      <c r="I106" s="20" t="inlineStr">
        <is>
          <t>已发货</t>
        </is>
      </c>
    </row>
    <row r="107">
      <c r="A107" s="18" t="inlineStr">
        <is>
          <t>MD-2025070073</t>
        </is>
      </c>
      <c r="B107" s="24" t="n">
        <v>45880</v>
      </c>
      <c r="C107" s="6" t="inlineStr">
        <is>
          <t>顾*怡</t>
        </is>
      </c>
      <c r="D107" s="6" t="inlineStr">
        <is>
          <t>随机单盒（早鸟）</t>
        </is>
      </c>
      <c r="E107" s="25" t="n">
        <v>1</v>
      </c>
      <c r="F107" s="38" t="n">
        <v>89</v>
      </c>
      <c r="G107" s="38" t="n">
        <v>89</v>
      </c>
      <c r="H107" s="18" t="inlineStr">
        <is>
          <t>已支付</t>
        </is>
      </c>
      <c r="I107" s="18" t="inlineStr">
        <is>
          <t>已发货</t>
        </is>
      </c>
    </row>
    <row r="108">
      <c r="A108" s="20" t="inlineStr">
        <is>
          <t>MD-2025070074</t>
        </is>
      </c>
      <c r="B108" s="27" t="n">
        <v>45874</v>
      </c>
      <c r="C108" s="8" t="inlineStr">
        <is>
          <t>侯*峰</t>
        </is>
      </c>
      <c r="D108" s="8" t="inlineStr">
        <is>
          <t>限量明盒（早鸟）</t>
        </is>
      </c>
      <c r="E108" s="28" t="n">
        <v>1</v>
      </c>
      <c r="F108" s="40" t="n">
        <v>94</v>
      </c>
      <c r="G108" s="40" t="n">
        <v>94</v>
      </c>
      <c r="H108" s="20" t="inlineStr">
        <is>
          <t>已支付</t>
        </is>
      </c>
      <c r="I108" s="20" t="inlineStr">
        <is>
          <t>已发货</t>
        </is>
      </c>
    </row>
    <row r="109">
      <c r="A109" s="18" t="inlineStr">
        <is>
          <t>MD-2025070075</t>
        </is>
      </c>
      <c r="B109" s="24" t="n">
        <v>45854</v>
      </c>
      <c r="C109" s="6" t="inlineStr">
        <is>
          <t>龙*涵</t>
        </is>
      </c>
      <c r="D109" s="6" t="inlineStr">
        <is>
          <t>单盒（常规）</t>
        </is>
      </c>
      <c r="E109" s="25" t="n">
        <v>1</v>
      </c>
      <c r="F109" s="38" t="n">
        <v>95</v>
      </c>
      <c r="G109" s="38" t="n">
        <v>95</v>
      </c>
      <c r="H109" s="18" t="inlineStr">
        <is>
          <t>已支付</t>
        </is>
      </c>
      <c r="I109" s="18" t="inlineStr">
        <is>
          <t>已发货</t>
        </is>
      </c>
    </row>
    <row r="110">
      <c r="A110" s="20" t="inlineStr">
        <is>
          <t>MD-2025070076</t>
        </is>
      </c>
      <c r="B110" s="27" t="n">
        <v>45875</v>
      </c>
      <c r="C110" s="8" t="inlineStr">
        <is>
          <t>万*涛</t>
        </is>
      </c>
      <c r="D110" s="8" t="inlineStr">
        <is>
          <t>明盒（常规）</t>
        </is>
      </c>
      <c r="E110" s="28" t="n">
        <v>1</v>
      </c>
      <c r="F110" s="40" t="n">
        <v>100</v>
      </c>
      <c r="G110" s="40" t="n">
        <v>100</v>
      </c>
      <c r="H110" s="20" t="inlineStr">
        <is>
          <t>已支付</t>
        </is>
      </c>
      <c r="I110" s="20" t="inlineStr">
        <is>
          <t>已发货</t>
        </is>
      </c>
    </row>
    <row r="111">
      <c r="A111" s="18" t="inlineStr">
        <is>
          <t>MD-2025070077</t>
        </is>
      </c>
      <c r="B111" s="24" t="n">
        <v>45864</v>
      </c>
      <c r="C111" s="6" t="inlineStr">
        <is>
          <t>段*蕾</t>
        </is>
      </c>
      <c r="D111" s="6" t="inlineStr">
        <is>
          <t>CP对盒（早鸟）</t>
        </is>
      </c>
      <c r="E111" s="25" t="n">
        <v>1</v>
      </c>
      <c r="F111" s="38" t="n">
        <v>176</v>
      </c>
      <c r="G111" s="38" t="n">
        <v>176</v>
      </c>
      <c r="H111" s="18" t="inlineStr">
        <is>
          <t>已支付</t>
        </is>
      </c>
      <c r="I111" s="18" t="inlineStr">
        <is>
          <t>已发货</t>
        </is>
      </c>
    </row>
    <row r="112">
      <c r="A112" s="20" t="inlineStr">
        <is>
          <t>MD-2025070078</t>
        </is>
      </c>
      <c r="B112" s="27" t="n">
        <v>45878</v>
      </c>
      <c r="C112" s="8" t="inlineStr">
        <is>
          <t>雷*博</t>
        </is>
      </c>
      <c r="D112" s="8" t="inlineStr">
        <is>
          <t>CP对盒（常规）</t>
        </is>
      </c>
      <c r="E112" s="28" t="n">
        <v>1</v>
      </c>
      <c r="F112" s="40" t="n">
        <v>184</v>
      </c>
      <c r="G112" s="40" t="n">
        <v>184</v>
      </c>
      <c r="H112" s="20" t="inlineStr">
        <is>
          <t>已支付</t>
        </is>
      </c>
      <c r="I112" s="20" t="inlineStr">
        <is>
          <t>已发货</t>
        </is>
      </c>
    </row>
    <row r="113">
      <c r="A113" s="18" t="inlineStr">
        <is>
          <t>MD-2025070079</t>
        </is>
      </c>
      <c r="B113" s="24" t="n">
        <v>45860</v>
      </c>
      <c r="C113" s="6" t="inlineStr">
        <is>
          <t>严*曦</t>
        </is>
      </c>
      <c r="D113" s="6" t="inlineStr">
        <is>
          <t>端盒（6只）</t>
        </is>
      </c>
      <c r="E113" s="25" t="n">
        <v>1</v>
      </c>
      <c r="F113" s="38" t="n">
        <v>546</v>
      </c>
      <c r="G113" s="38" t="n">
        <v>546</v>
      </c>
      <c r="H113" s="18" t="inlineStr">
        <is>
          <t>已支付</t>
        </is>
      </c>
      <c r="I113" s="18" t="inlineStr">
        <is>
          <t>已发货</t>
        </is>
      </c>
    </row>
    <row r="114">
      <c r="A114" s="20" t="inlineStr">
        <is>
          <t>MD-2025070080</t>
        </is>
      </c>
      <c r="B114" s="27" t="n">
        <v>45877</v>
      </c>
      <c r="C114" s="8" t="inlineStr">
        <is>
          <t>覃*宇</t>
        </is>
      </c>
      <c r="D114" s="8" t="inlineStr">
        <is>
          <t>ALL-IN套装</t>
        </is>
      </c>
      <c r="E114" s="28" t="n">
        <v>1</v>
      </c>
      <c r="F114" s="40" t="n">
        <v>680</v>
      </c>
      <c r="G114" s="40" t="n">
        <v>680</v>
      </c>
      <c r="H114" s="20" t="inlineStr">
        <is>
          <t>已支付</t>
        </is>
      </c>
      <c r="I114" s="20" t="inlineStr">
        <is>
          <t>已发货</t>
        </is>
      </c>
    </row>
    <row r="115">
      <c r="A115" s="18" t="inlineStr">
        <is>
          <t>MD-2025070081</t>
        </is>
      </c>
      <c r="B115" s="24" t="n">
        <v>45863</v>
      </c>
      <c r="C115" s="6" t="inlineStr">
        <is>
          <t>武*萌</t>
        </is>
      </c>
      <c r="D115" s="6" t="inlineStr">
        <is>
          <t>随机单盒（早鸟）</t>
        </is>
      </c>
      <c r="E115" s="25" t="n">
        <v>1</v>
      </c>
      <c r="F115" s="38" t="n">
        <v>89</v>
      </c>
      <c r="G115" s="38" t="n">
        <v>89</v>
      </c>
      <c r="H115" s="18" t="inlineStr">
        <is>
          <t>已支付</t>
        </is>
      </c>
      <c r="I115" s="18" t="inlineStr">
        <is>
          <t>已发货</t>
        </is>
      </c>
    </row>
    <row r="116">
      <c r="A116" s="20" t="inlineStr">
        <is>
          <t>MD-2025070082</t>
        </is>
      </c>
      <c r="B116" s="27" t="n">
        <v>45881</v>
      </c>
      <c r="C116" s="8" t="inlineStr">
        <is>
          <t>乔*凯</t>
        </is>
      </c>
      <c r="D116" s="8" t="inlineStr">
        <is>
          <t>限量明盒（早鸟）</t>
        </is>
      </c>
      <c r="E116" s="28" t="n">
        <v>1</v>
      </c>
      <c r="F116" s="40" t="n">
        <v>94</v>
      </c>
      <c r="G116" s="40" t="n">
        <v>94</v>
      </c>
      <c r="H116" s="20" t="inlineStr">
        <is>
          <t>已支付</t>
        </is>
      </c>
      <c r="I116" s="20" t="inlineStr">
        <is>
          <t>已发货</t>
        </is>
      </c>
    </row>
    <row r="117">
      <c r="A117" s="18" t="inlineStr">
        <is>
          <t>MD-2025070083</t>
        </is>
      </c>
      <c r="B117" s="24" t="n">
        <v>45860</v>
      </c>
      <c r="C117" s="6" t="inlineStr">
        <is>
          <t>汤*瑶</t>
        </is>
      </c>
      <c r="D117" s="6" t="inlineStr">
        <is>
          <t>单盒（常规）</t>
        </is>
      </c>
      <c r="E117" s="25" t="n">
        <v>1</v>
      </c>
      <c r="F117" s="38" t="n">
        <v>95</v>
      </c>
      <c r="G117" s="38" t="n">
        <v>95</v>
      </c>
      <c r="H117" s="18" t="inlineStr">
        <is>
          <t>已支付</t>
        </is>
      </c>
      <c r="I117" s="18" t="inlineStr">
        <is>
          <t>已发货</t>
        </is>
      </c>
    </row>
    <row r="118">
      <c r="A118" s="20" t="inlineStr">
        <is>
          <t>MD-2025070084</t>
        </is>
      </c>
      <c r="B118" s="27" t="n">
        <v>45862</v>
      </c>
      <c r="C118" s="8" t="inlineStr">
        <is>
          <t>尹*飞</t>
        </is>
      </c>
      <c r="D118" s="8" t="inlineStr">
        <is>
          <t>明盒（常规）</t>
        </is>
      </c>
      <c r="E118" s="28" t="n">
        <v>1</v>
      </c>
      <c r="F118" s="40" t="n">
        <v>100</v>
      </c>
      <c r="G118" s="40" t="n">
        <v>100</v>
      </c>
      <c r="H118" s="20" t="inlineStr">
        <is>
          <t>已支付</t>
        </is>
      </c>
      <c r="I118" s="20" t="inlineStr">
        <is>
          <t>已发货</t>
        </is>
      </c>
    </row>
    <row r="119">
      <c r="A119" s="18" t="inlineStr">
        <is>
          <t>MD-2025070085</t>
        </is>
      </c>
      <c r="B119" s="24" t="n">
        <v>45859</v>
      </c>
      <c r="C119" s="6" t="inlineStr">
        <is>
          <t>易*萱</t>
        </is>
      </c>
      <c r="D119" s="6" t="inlineStr">
        <is>
          <t>CP对盒（早鸟）</t>
        </is>
      </c>
      <c r="E119" s="25" t="n">
        <v>1</v>
      </c>
      <c r="F119" s="38" t="n">
        <v>176</v>
      </c>
      <c r="G119" s="38" t="n">
        <v>176</v>
      </c>
      <c r="H119" s="18" t="inlineStr">
        <is>
          <t>已支付</t>
        </is>
      </c>
      <c r="I119" s="18" t="inlineStr">
        <is>
          <t>已发货</t>
        </is>
      </c>
    </row>
    <row r="120">
      <c r="A120" s="20" t="inlineStr">
        <is>
          <t>MD-2025070086</t>
        </is>
      </c>
      <c r="B120" s="27" t="n">
        <v>45882</v>
      </c>
      <c r="C120" s="8" t="inlineStr">
        <is>
          <t>常*鸣</t>
        </is>
      </c>
      <c r="D120" s="8" t="inlineStr">
        <is>
          <t>CP对盒（常规）</t>
        </is>
      </c>
      <c r="E120" s="28" t="n">
        <v>1</v>
      </c>
      <c r="F120" s="40" t="n">
        <v>184</v>
      </c>
      <c r="G120" s="40" t="n">
        <v>184</v>
      </c>
      <c r="H120" s="20" t="inlineStr">
        <is>
          <t>已支付</t>
        </is>
      </c>
      <c r="I120" s="20" t="inlineStr">
        <is>
          <t>已发货</t>
        </is>
      </c>
    </row>
    <row r="121">
      <c r="A121" s="18" t="inlineStr">
        <is>
          <t>MD-2025070087</t>
        </is>
      </c>
      <c r="B121" s="24" t="n">
        <v>45872</v>
      </c>
      <c r="C121" s="6" t="inlineStr">
        <is>
          <t>贺*桐</t>
        </is>
      </c>
      <c r="D121" s="6" t="inlineStr">
        <is>
          <t>端盒（6只）</t>
        </is>
      </c>
      <c r="E121" s="25" t="n">
        <v>1</v>
      </c>
      <c r="F121" s="38" t="n">
        <v>546</v>
      </c>
      <c r="G121" s="38" t="n">
        <v>546</v>
      </c>
      <c r="H121" s="18" t="inlineStr">
        <is>
          <t>已支付</t>
        </is>
      </c>
      <c r="I121" s="18" t="inlineStr">
        <is>
          <t>已发货</t>
        </is>
      </c>
    </row>
    <row r="122">
      <c r="A122" s="20" t="inlineStr">
        <is>
          <t>MD-2025070088</t>
        </is>
      </c>
      <c r="B122" s="27" t="n">
        <v>45869</v>
      </c>
      <c r="C122" s="8" t="inlineStr">
        <is>
          <t>赖*廷</t>
        </is>
      </c>
      <c r="D122" s="8" t="inlineStr">
        <is>
          <t>ALL-IN套装</t>
        </is>
      </c>
      <c r="E122" s="28" t="n">
        <v>1</v>
      </c>
      <c r="F122" s="40" t="n">
        <v>680</v>
      </c>
      <c r="G122" s="40" t="n">
        <v>680</v>
      </c>
      <c r="H122" s="20" t="inlineStr">
        <is>
          <t>已支付</t>
        </is>
      </c>
      <c r="I122" s="20" t="inlineStr">
        <is>
          <t>已发货</t>
        </is>
      </c>
    </row>
    <row r="123">
      <c r="A123" s="18" t="inlineStr">
        <is>
          <t>MD-2025070089</t>
        </is>
      </c>
      <c r="B123" s="24" t="n">
        <v>45855</v>
      </c>
      <c r="C123" s="6" t="inlineStr">
        <is>
          <t>龚*拓</t>
        </is>
      </c>
      <c r="D123" s="6" t="inlineStr">
        <is>
          <t>随机单盒（早鸟）</t>
        </is>
      </c>
      <c r="E123" s="25" t="n">
        <v>1</v>
      </c>
      <c r="F123" s="38" t="n">
        <v>89</v>
      </c>
      <c r="G123" s="38" t="n">
        <v>89</v>
      </c>
      <c r="H123" s="18" t="inlineStr">
        <is>
          <t>已支付</t>
        </is>
      </c>
      <c r="I123" s="18" t="inlineStr">
        <is>
          <t>已发货</t>
        </is>
      </c>
    </row>
    <row r="124">
      <c r="A124" s="20" t="inlineStr">
        <is>
          <t>MD-2025070090</t>
        </is>
      </c>
      <c r="B124" s="27" t="n">
        <v>45856</v>
      </c>
      <c r="C124" s="8" t="inlineStr">
        <is>
          <t>文*丽</t>
        </is>
      </c>
      <c r="D124" s="8" t="inlineStr">
        <is>
          <t>限量明盒（早鸟）</t>
        </is>
      </c>
      <c r="E124" s="28" t="n">
        <v>1</v>
      </c>
      <c r="F124" s="40" t="n">
        <v>94</v>
      </c>
      <c r="G124" s="40" t="n">
        <v>94</v>
      </c>
      <c r="H124" s="20" t="inlineStr">
        <is>
          <t>已支付</t>
        </is>
      </c>
      <c r="I124" s="20" t="inlineStr">
        <is>
          <t>已发货</t>
        </is>
      </c>
    </row>
    <row r="125">
      <c r="A125" s="18" t="inlineStr">
        <is>
          <t>MD-2025070091</t>
        </is>
      </c>
      <c r="B125" s="24" t="n">
        <v>45858</v>
      </c>
      <c r="C125" s="6" t="inlineStr">
        <is>
          <t>庞*锐</t>
        </is>
      </c>
      <c r="D125" s="6" t="inlineStr">
        <is>
          <t>单盒（常规）</t>
        </is>
      </c>
      <c r="E125" s="25" t="n">
        <v>1</v>
      </c>
      <c r="F125" s="38" t="n">
        <v>95</v>
      </c>
      <c r="G125" s="38" t="n">
        <v>95</v>
      </c>
      <c r="H125" s="18" t="inlineStr">
        <is>
          <t>已支付</t>
        </is>
      </c>
      <c r="I125" s="18" t="inlineStr">
        <is>
          <t>已发货</t>
        </is>
      </c>
    </row>
    <row r="126">
      <c r="A126" s="20" t="inlineStr">
        <is>
          <t>MD-2025070092</t>
        </is>
      </c>
      <c r="B126" s="27" t="n">
        <v>45866</v>
      </c>
      <c r="C126" s="8" t="inlineStr">
        <is>
          <t>蓝*昕</t>
        </is>
      </c>
      <c r="D126" s="8" t="inlineStr">
        <is>
          <t>明盒（常规）</t>
        </is>
      </c>
      <c r="E126" s="28" t="n">
        <v>1</v>
      </c>
      <c r="F126" s="40" t="n">
        <v>100</v>
      </c>
      <c r="G126" s="40" t="n">
        <v>100</v>
      </c>
      <c r="H126" s="20" t="inlineStr">
        <is>
          <t>已支付</t>
        </is>
      </c>
      <c r="I126" s="20" t="inlineStr">
        <is>
          <t>已发货</t>
        </is>
      </c>
    </row>
    <row r="127">
      <c r="A127" s="18" t="inlineStr">
        <is>
          <t>MD-2025070093</t>
        </is>
      </c>
      <c r="B127" s="24" t="n">
        <v>45881</v>
      </c>
      <c r="C127" s="6" t="inlineStr">
        <is>
          <t>代*妮</t>
        </is>
      </c>
      <c r="D127" s="6" t="inlineStr">
        <is>
          <t>CP对盒（早鸟）</t>
        </is>
      </c>
      <c r="E127" s="25" t="n">
        <v>1</v>
      </c>
      <c r="F127" s="38" t="n">
        <v>176</v>
      </c>
      <c r="G127" s="38" t="n">
        <v>176</v>
      </c>
      <c r="H127" s="18" t="inlineStr">
        <is>
          <t>已支付</t>
        </is>
      </c>
      <c r="I127" s="18" t="inlineStr">
        <is>
          <t>已发货</t>
        </is>
      </c>
    </row>
    <row r="128">
      <c r="A128" s="20" t="inlineStr">
        <is>
          <t>MD-2025070094</t>
        </is>
      </c>
      <c r="B128" s="27" t="n">
        <v>45875</v>
      </c>
      <c r="C128" s="8" t="inlineStr">
        <is>
          <t>蒙*衍</t>
        </is>
      </c>
      <c r="D128" s="8" t="inlineStr">
        <is>
          <t>CP对盒（常规）</t>
        </is>
      </c>
      <c r="E128" s="28" t="n">
        <v>1</v>
      </c>
      <c r="F128" s="40" t="n">
        <v>184</v>
      </c>
      <c r="G128" s="40" t="n">
        <v>184</v>
      </c>
      <c r="H128" s="20" t="inlineStr">
        <is>
          <t>已支付</t>
        </is>
      </c>
      <c r="I128" s="20" t="inlineStr">
        <is>
          <t>已发货</t>
        </is>
      </c>
    </row>
    <row r="129">
      <c r="A129" s="18" t="inlineStr">
        <is>
          <t>MD-2025070095</t>
        </is>
      </c>
      <c r="B129" s="24" t="n">
        <v>45882</v>
      </c>
      <c r="C129" s="6" t="inlineStr">
        <is>
          <t>岑*锋</t>
        </is>
      </c>
      <c r="D129" s="6" t="inlineStr">
        <is>
          <t>端盒（6只）</t>
        </is>
      </c>
      <c r="E129" s="25" t="n">
        <v>1</v>
      </c>
      <c r="F129" s="38" t="n">
        <v>546</v>
      </c>
      <c r="G129" s="38" t="n">
        <v>546</v>
      </c>
      <c r="H129" s="18" t="inlineStr">
        <is>
          <t>已支付</t>
        </is>
      </c>
      <c r="I129" s="18" t="inlineStr">
        <is>
          <t>已发货</t>
        </is>
      </c>
    </row>
    <row r="130">
      <c r="A130" s="20" t="inlineStr">
        <is>
          <t>MD-2025070096</t>
        </is>
      </c>
      <c r="B130" s="27" t="n">
        <v>45854</v>
      </c>
      <c r="C130" s="8" t="inlineStr">
        <is>
          <t>毕*媛</t>
        </is>
      </c>
      <c r="D130" s="8" t="inlineStr">
        <is>
          <t>ALL-IN套装</t>
        </is>
      </c>
      <c r="E130" s="28" t="n">
        <v>1</v>
      </c>
      <c r="F130" s="40" t="n">
        <v>680</v>
      </c>
      <c r="G130" s="40" t="n">
        <v>680</v>
      </c>
      <c r="H130" s="20" t="inlineStr">
        <is>
          <t>已支付</t>
        </is>
      </c>
      <c r="I130" s="20" t="inlineStr">
        <is>
          <t>已发货</t>
        </is>
      </c>
    </row>
    <row r="131">
      <c r="A131" s="18" t="inlineStr">
        <is>
          <t>MD-2025070097</t>
        </is>
      </c>
      <c r="B131" s="24" t="n">
        <v>45864</v>
      </c>
      <c r="C131" s="6" t="inlineStr">
        <is>
          <t>阮*濛</t>
        </is>
      </c>
      <c r="D131" s="6" t="inlineStr">
        <is>
          <t>随机单盒（早鸟）</t>
        </is>
      </c>
      <c r="E131" s="25" t="n">
        <v>1</v>
      </c>
      <c r="F131" s="38" t="n">
        <v>89</v>
      </c>
      <c r="G131" s="38" t="n">
        <v>89</v>
      </c>
      <c r="H131" s="18" t="inlineStr">
        <is>
          <t>已支付</t>
        </is>
      </c>
      <c r="I131" s="18" t="inlineStr">
        <is>
          <t>已发货</t>
        </is>
      </c>
    </row>
    <row r="132">
      <c r="A132" s="20" t="inlineStr">
        <is>
          <t>MD-2025070098</t>
        </is>
      </c>
      <c r="B132" s="27" t="n">
        <v>45861</v>
      </c>
      <c r="C132" s="8" t="inlineStr">
        <is>
          <t>关*铮</t>
        </is>
      </c>
      <c r="D132" s="8" t="inlineStr">
        <is>
          <t>限量明盒（早鸟）</t>
        </is>
      </c>
      <c r="E132" s="28" t="n">
        <v>1</v>
      </c>
      <c r="F132" s="40" t="n">
        <v>94</v>
      </c>
      <c r="G132" s="40" t="n">
        <v>94</v>
      </c>
      <c r="H132" s="20" t="inlineStr">
        <is>
          <t>已支付</t>
        </is>
      </c>
      <c r="I132" s="20" t="inlineStr">
        <is>
          <t>已发货</t>
        </is>
      </c>
    </row>
    <row r="133">
      <c r="A133" s="18" t="inlineStr">
        <is>
          <t>MD-2025070099</t>
        </is>
      </c>
      <c r="B133" s="24" t="n">
        <v>45862</v>
      </c>
      <c r="C133" s="6" t="inlineStr">
        <is>
          <t>覃*朗</t>
        </is>
      </c>
      <c r="D133" s="6" t="inlineStr">
        <is>
          <t>单盒（常规）</t>
        </is>
      </c>
      <c r="E133" s="25" t="n">
        <v>1</v>
      </c>
      <c r="F133" s="38" t="n">
        <v>95</v>
      </c>
      <c r="G133" s="38" t="n">
        <v>95</v>
      </c>
      <c r="H133" s="18" t="inlineStr">
        <is>
          <t>已支付</t>
        </is>
      </c>
      <c r="I133" s="18" t="inlineStr">
        <is>
          <t>已发货</t>
        </is>
      </c>
    </row>
    <row r="134">
      <c r="A134" s="20" t="inlineStr">
        <is>
          <t>MD-2025070100</t>
        </is>
      </c>
      <c r="B134" s="27" t="n">
        <v>45855</v>
      </c>
      <c r="C134" s="8" t="inlineStr">
        <is>
          <t>兰*熹</t>
        </is>
      </c>
      <c r="D134" s="8" t="inlineStr">
        <is>
          <t>明盒（常规）</t>
        </is>
      </c>
      <c r="E134" s="28" t="n">
        <v>1</v>
      </c>
      <c r="F134" s="40" t="n">
        <v>100</v>
      </c>
      <c r="G134" s="40" t="n">
        <v>100</v>
      </c>
      <c r="H134" s="20" t="inlineStr">
        <is>
          <t>已支付</t>
        </is>
      </c>
      <c r="I134" s="20" t="inlineStr">
        <is>
          <t>已发货</t>
        </is>
      </c>
    </row>
    <row r="135">
      <c r="A135" s="18" t="inlineStr">
        <is>
          <t>MD-2025070101</t>
        </is>
      </c>
      <c r="B135" s="24" t="n">
        <v>45865</v>
      </c>
      <c r="C135" s="6" t="inlineStr">
        <is>
          <t>乌*庭</t>
        </is>
      </c>
      <c r="D135" s="6" t="inlineStr">
        <is>
          <t>CP对盒（早鸟）</t>
        </is>
      </c>
      <c r="E135" s="25" t="n">
        <v>1</v>
      </c>
      <c r="F135" s="38" t="n">
        <v>176</v>
      </c>
      <c r="G135" s="38" t="n">
        <v>176</v>
      </c>
      <c r="H135" s="18" t="inlineStr">
        <is>
          <t>已支付</t>
        </is>
      </c>
      <c r="I135" s="18" t="inlineStr">
        <is>
          <t>已发货</t>
        </is>
      </c>
    </row>
    <row r="136">
      <c r="A136" s="20" t="inlineStr">
        <is>
          <t>MD-2025070102</t>
        </is>
      </c>
      <c r="B136" s="27" t="n">
        <v>45861</v>
      </c>
      <c r="C136" s="8" t="inlineStr">
        <is>
          <t>焦*荟</t>
        </is>
      </c>
      <c r="D136" s="8" t="inlineStr">
        <is>
          <t>CP对盒（常规）</t>
        </is>
      </c>
      <c r="E136" s="28" t="n">
        <v>1</v>
      </c>
      <c r="F136" s="40" t="n">
        <v>184</v>
      </c>
      <c r="G136" s="40" t="n">
        <v>184</v>
      </c>
      <c r="H136" s="20" t="inlineStr">
        <is>
          <t>已支付</t>
        </is>
      </c>
      <c r="I136" s="20" t="inlineStr">
        <is>
          <t>已发货</t>
        </is>
      </c>
    </row>
    <row r="137">
      <c r="A137" s="18" t="inlineStr">
        <is>
          <t>MD-2025070103</t>
        </is>
      </c>
      <c r="B137" s="24" t="n">
        <v>45877</v>
      </c>
      <c r="C137" s="6" t="inlineStr">
        <is>
          <t>池*韬</t>
        </is>
      </c>
      <c r="D137" s="6" t="inlineStr">
        <is>
          <t>端盒（6只）</t>
        </is>
      </c>
      <c r="E137" s="25" t="n">
        <v>1</v>
      </c>
      <c r="F137" s="38" t="n">
        <v>546</v>
      </c>
      <c r="G137" s="38" t="n">
        <v>546</v>
      </c>
      <c r="H137" s="18" t="inlineStr">
        <is>
          <t>已支付</t>
        </is>
      </c>
      <c r="I137" s="18" t="inlineStr">
        <is>
          <t>已发货</t>
        </is>
      </c>
    </row>
    <row r="138">
      <c r="A138" s="20" t="inlineStr">
        <is>
          <t>MD-2025070104</t>
        </is>
      </c>
      <c r="B138" s="27" t="n">
        <v>45862</v>
      </c>
      <c r="C138" s="8" t="inlineStr">
        <is>
          <t>谷*宓</t>
        </is>
      </c>
      <c r="D138" s="8" t="inlineStr">
        <is>
          <t>ALL-IN套装</t>
        </is>
      </c>
      <c r="E138" s="28" t="n">
        <v>1</v>
      </c>
      <c r="F138" s="40" t="n">
        <v>680</v>
      </c>
      <c r="G138" s="40" t="n">
        <v>680</v>
      </c>
      <c r="H138" s="20" t="inlineStr">
        <is>
          <t>已支付</t>
        </is>
      </c>
      <c r="I138" s="20" t="inlineStr">
        <is>
          <t>已发货</t>
        </is>
      </c>
    </row>
    <row r="139">
      <c r="A139" s="18" t="inlineStr">
        <is>
          <t>MD-2025070105</t>
        </is>
      </c>
      <c r="B139" s="24" t="n">
        <v>45879</v>
      </c>
      <c r="C139" s="6" t="inlineStr">
        <is>
          <t>宁*旋</t>
        </is>
      </c>
      <c r="D139" s="6" t="inlineStr">
        <is>
          <t>随机单盒（早鸟）</t>
        </is>
      </c>
      <c r="E139" s="25" t="n">
        <v>1</v>
      </c>
      <c r="F139" s="38" t="n">
        <v>89</v>
      </c>
      <c r="G139" s="38" t="n">
        <v>89</v>
      </c>
      <c r="H139" s="18" t="inlineStr">
        <is>
          <t>已支付</t>
        </is>
      </c>
      <c r="I139" s="18" t="inlineStr">
        <is>
          <t>已发货</t>
        </is>
      </c>
    </row>
    <row r="140">
      <c r="A140" s="20" t="inlineStr">
        <is>
          <t>MD-2025070106</t>
        </is>
      </c>
      <c r="B140" s="27" t="n">
        <v>45883</v>
      </c>
      <c r="C140" s="8" t="inlineStr">
        <is>
          <t>尚*航</t>
        </is>
      </c>
      <c r="D140" s="8" t="inlineStr">
        <is>
          <t>限量明盒（早鸟）</t>
        </is>
      </c>
      <c r="E140" s="28" t="n">
        <v>1</v>
      </c>
      <c r="F140" s="40" t="n">
        <v>94</v>
      </c>
      <c r="G140" s="40" t="n">
        <v>94</v>
      </c>
      <c r="H140" s="20" t="inlineStr">
        <is>
          <t>已支付</t>
        </is>
      </c>
      <c r="I140" s="20" t="inlineStr">
        <is>
          <t>已发货</t>
        </is>
      </c>
    </row>
    <row r="141">
      <c r="A141" s="18" t="inlineStr">
        <is>
          <t>MD-2025070107</t>
        </is>
      </c>
      <c r="B141" s="24" t="n">
        <v>45873</v>
      </c>
      <c r="C141" s="6" t="inlineStr">
        <is>
          <t>符*融</t>
        </is>
      </c>
      <c r="D141" s="6" t="inlineStr">
        <is>
          <t>单盒（常规）</t>
        </is>
      </c>
      <c r="E141" s="25" t="n">
        <v>1</v>
      </c>
      <c r="F141" s="38" t="n">
        <v>95</v>
      </c>
      <c r="G141" s="38" t="n">
        <v>95</v>
      </c>
      <c r="H141" s="18" t="inlineStr">
        <is>
          <t>已支付</t>
        </is>
      </c>
      <c r="I141" s="18" t="inlineStr">
        <is>
          <t>已发货</t>
        </is>
      </c>
    </row>
    <row r="142">
      <c r="A142" s="20" t="inlineStr">
        <is>
          <t>MD-2025070108</t>
        </is>
      </c>
      <c r="B142" s="27" t="n">
        <v>45865</v>
      </c>
      <c r="C142" s="8" t="inlineStr">
        <is>
          <t>嵇*萌</t>
        </is>
      </c>
      <c r="D142" s="8" t="inlineStr">
        <is>
          <t>明盒（常规）</t>
        </is>
      </c>
      <c r="E142" s="28" t="n">
        <v>1</v>
      </c>
      <c r="F142" s="40" t="n">
        <v>100</v>
      </c>
      <c r="G142" s="40" t="n">
        <v>100</v>
      </c>
      <c r="H142" s="20" t="inlineStr">
        <is>
          <t>已支付</t>
        </is>
      </c>
      <c r="I142" s="20" t="inlineStr">
        <is>
          <t>已发货</t>
        </is>
      </c>
    </row>
    <row r="143">
      <c r="A143" s="18" t="inlineStr">
        <is>
          <t>MD-2025070109</t>
        </is>
      </c>
      <c r="B143" s="24" t="n">
        <v>45873</v>
      </c>
      <c r="C143" s="6" t="inlineStr">
        <is>
          <t>缪*清</t>
        </is>
      </c>
      <c r="D143" s="6" t="inlineStr">
        <is>
          <t>CP对盒（早鸟）</t>
        </is>
      </c>
      <c r="E143" s="25" t="n">
        <v>1</v>
      </c>
      <c r="F143" s="38" t="n">
        <v>176</v>
      </c>
      <c r="G143" s="38" t="n">
        <v>176</v>
      </c>
      <c r="H143" s="18" t="inlineStr">
        <is>
          <t>已支付</t>
        </is>
      </c>
      <c r="I143" s="18" t="inlineStr">
        <is>
          <t>已发货</t>
        </is>
      </c>
    </row>
    <row r="144">
      <c r="A144" s="20" t="inlineStr">
        <is>
          <t>MD-2025070110</t>
        </is>
      </c>
      <c r="B144" s="27" t="n">
        <v>45870</v>
      </c>
      <c r="C144" s="8" t="inlineStr">
        <is>
          <t>娄*菲</t>
        </is>
      </c>
      <c r="D144" s="8" t="inlineStr">
        <is>
          <t>CP对盒（常规）</t>
        </is>
      </c>
      <c r="E144" s="28" t="n">
        <v>1</v>
      </c>
      <c r="F144" s="40" t="n">
        <v>184</v>
      </c>
      <c r="G144" s="40" t="n">
        <v>184</v>
      </c>
      <c r="H144" s="20" t="inlineStr">
        <is>
          <t>已支付</t>
        </is>
      </c>
      <c r="I144" s="20" t="inlineStr">
        <is>
          <t>已发货</t>
        </is>
      </c>
    </row>
    <row r="145">
      <c r="A145" s="18" t="inlineStr">
        <is>
          <t>MD-2025070111</t>
        </is>
      </c>
      <c r="B145" s="24" t="n">
        <v>45869</v>
      </c>
      <c r="C145" s="6" t="inlineStr">
        <is>
          <t>裘*策</t>
        </is>
      </c>
      <c r="D145" s="6" t="inlineStr">
        <is>
          <t>端盒（6只）</t>
        </is>
      </c>
      <c r="E145" s="25" t="n">
        <v>1</v>
      </c>
      <c r="F145" s="38" t="n">
        <v>546</v>
      </c>
      <c r="G145" s="38" t="n">
        <v>546</v>
      </c>
      <c r="H145" s="18" t="inlineStr">
        <is>
          <t>已支付</t>
        </is>
      </c>
      <c r="I145" s="18" t="inlineStr">
        <is>
          <t>已发货</t>
        </is>
      </c>
    </row>
    <row r="146">
      <c r="A146" s="20" t="inlineStr">
        <is>
          <t>MD-2025070112</t>
        </is>
      </c>
      <c r="B146" s="27" t="n">
        <v>45883</v>
      </c>
      <c r="C146" s="8" t="inlineStr">
        <is>
          <t>莘*凝</t>
        </is>
      </c>
      <c r="D146" s="8" t="inlineStr">
        <is>
          <t>ALL-IN套装</t>
        </is>
      </c>
      <c r="E146" s="28" t="n">
        <v>1</v>
      </c>
      <c r="F146" s="40" t="n">
        <v>680</v>
      </c>
      <c r="G146" s="40" t="n">
        <v>680</v>
      </c>
      <c r="H146" s="20" t="inlineStr">
        <is>
          <t>已支付</t>
        </is>
      </c>
      <c r="I146" s="20" t="inlineStr">
        <is>
          <t>已发货</t>
        </is>
      </c>
    </row>
  </sheetData>
  <autoFilter ref="A34:I146"/>
  <mergeCells count="7">
    <mergeCell ref="A1:I1"/>
    <mergeCell ref="A2:I2"/>
    <mergeCell ref="A4:I4"/>
    <mergeCell ref="A10:I10"/>
    <mergeCell ref="A19:I19"/>
    <mergeCell ref="A31:D31"/>
    <mergeCell ref="A33:I33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7" customWidth="1" min="3" max="3"/>
    <col width="17" customWidth="1" min="4" max="4"/>
    <col width="17" customWidth="1" min="5" max="5"/>
    <col width="17" customWidth="1" min="6" max="6"/>
    <col width="12" customWidth="1" min="7" max="7"/>
  </cols>
  <sheetData>
    <row r="1" ht="30" customHeight="1">
      <c r="A1" s="16" t="inlineStr">
        <is>
          <t>🔗 经销商对账工作底稿（核心表）</t>
        </is>
      </c>
    </row>
    <row r="2" ht="18" customHeight="1">
      <c r="A2" s="17" t="inlineStr">
        <is>
          <t>应收 = SUMIF(销售出库实收金额, 经销商编码)；已回 = SUMIF(银行回款辅助列J, 经销商编码)；差异 = 应收 - 已回；匹配状态自动判断（绿=已匹配 / 黄=部分或超额 / 红=未回款）。</t>
        </is>
      </c>
    </row>
    <row r="3">
      <c r="A3" s="5" t="inlineStr">
        <is>
          <t>经销商编码</t>
        </is>
      </c>
      <c r="B3" s="5" t="inlineStr">
        <is>
          <t>经销商名称</t>
        </is>
      </c>
      <c r="C3" s="5" t="inlineStr">
        <is>
          <t>应收金额(销售实收)</t>
        </is>
      </c>
      <c r="D3" s="5" t="inlineStr">
        <is>
          <t>门店销通金额</t>
        </is>
      </c>
      <c r="E3" s="5" t="inlineStr">
        <is>
          <t>已回款(银行)</t>
        </is>
      </c>
      <c r="F3" s="5" t="inlineStr">
        <is>
          <t>差异(应收-已回)</t>
        </is>
      </c>
      <c r="G3" s="5" t="inlineStr">
        <is>
          <t>匹配状态</t>
        </is>
      </c>
    </row>
    <row r="4">
      <c r="A4" s="18" t="inlineStr">
        <is>
          <t>DE-001</t>
        </is>
      </c>
      <c r="B4" s="6" t="inlineStr">
        <is>
          <t>名创优品（广州）有限责任公司</t>
        </is>
      </c>
      <c r="C4" s="48">
        <f>SUMIF('📦 销售出库'!$C$4:$C$48,$A4,'📦 销售出库'!$K$4:$K$48)</f>
        <v/>
      </c>
      <c r="D4" s="48">
        <f>SUMIF('🏪 Sell-Through'!$C$4:$C$28,$A4,'🏪 Sell-Through'!$H$4:$H$28)</f>
        <v/>
      </c>
      <c r="E4" s="48">
        <f>SUMIF('💰 银行回款'!$J$4:$J$25,$A4,'💰 银行回款'!$D$4:$D$25)</f>
        <v/>
      </c>
      <c r="F4" s="48">
        <f>C4-E4</f>
        <v/>
      </c>
      <c r="G4" s="18">
        <f>IF(AND(E4&gt;0,ABS(F4)&lt;0.005),"已匹配",IF(E4&gt;0,IF(F4&lt;-0.005,"超额回款","部分回款"),"未回款"))</f>
        <v/>
      </c>
    </row>
    <row r="5">
      <c r="A5" s="20" t="inlineStr">
        <is>
          <t>DE-002</t>
        </is>
      </c>
      <c r="B5" s="8" t="inlineStr">
        <is>
          <t>酷乐潮玩（北京）贸易有限公司</t>
        </is>
      </c>
      <c r="C5" s="49">
        <f>SUMIF('📦 销售出库'!$C$4:$C$48,$A5,'📦 销售出库'!$K$4:$K$48)</f>
        <v/>
      </c>
      <c r="D5" s="49">
        <f>SUMIF('🏪 Sell-Through'!$C$4:$C$28,$A5,'🏪 Sell-Through'!$H$4:$H$28)</f>
        <v/>
      </c>
      <c r="E5" s="49">
        <f>SUMIF('💰 银行回款'!$J$4:$J$25,$A5,'💰 银行回款'!$D$4:$D$25)</f>
        <v/>
      </c>
      <c r="F5" s="49">
        <f>C5-E5</f>
        <v/>
      </c>
      <c r="G5" s="20">
        <f>IF(AND(E5&gt;0,ABS(F5)&lt;0.005),"已匹配",IF(E5&gt;0,IF(F5&lt;-0.005,"超额回款","部分回款"),"未回款"))</f>
        <v/>
      </c>
    </row>
    <row r="6">
      <c r="A6" s="18" t="inlineStr">
        <is>
          <t>DE-003</t>
        </is>
      </c>
      <c r="B6" s="6" t="inlineStr">
        <is>
          <t>TOPTOY（广州）文化发展有限公司</t>
        </is>
      </c>
      <c r="C6" s="48">
        <f>SUMIF('📦 销售出库'!$C$4:$C$48,$A6,'📦 销售出库'!$K$4:$K$48)</f>
        <v/>
      </c>
      <c r="D6" s="48">
        <f>SUMIF('🏪 Sell-Through'!$C$4:$C$28,$A6,'🏪 Sell-Through'!$H$4:$H$28)</f>
        <v/>
      </c>
      <c r="E6" s="48">
        <f>SUMIF('💰 银行回款'!$J$4:$J$25,$A6,'💰 银行回款'!$D$4:$D$25)</f>
        <v/>
      </c>
      <c r="F6" s="48">
        <f>C6-E6</f>
        <v/>
      </c>
      <c r="G6" s="18">
        <f>IF(AND(E6&gt;0,ABS(F6)&lt;0.005),"已匹配",IF(E6&gt;0,IF(F6&lt;-0.005,"超额回款","部分回款"),"未回款"))</f>
        <v/>
      </c>
    </row>
    <row r="7">
      <c r="A7" s="20" t="inlineStr">
        <is>
          <t>DE-004</t>
        </is>
      </c>
      <c r="B7" s="8" t="inlineStr">
        <is>
          <t>广州KK馆贸易有限公司</t>
        </is>
      </c>
      <c r="C7" s="49">
        <f>SUMIF('📦 销售出库'!$C$4:$C$48,$A7,'📦 销售出库'!$K$4:$K$48)</f>
        <v/>
      </c>
      <c r="D7" s="49">
        <f>SUMIF('🏪 Sell-Through'!$C$4:$C$28,$A7,'🏪 Sell-Through'!$H$4:$H$28)</f>
        <v/>
      </c>
      <c r="E7" s="49">
        <f>SUMIF('💰 银行回款'!$J$4:$J$25,$A7,'💰 银行回款'!$D$4:$D$25)</f>
        <v/>
      </c>
      <c r="F7" s="49">
        <f>C7-E7</f>
        <v/>
      </c>
      <c r="G7" s="20">
        <f>IF(AND(E7&gt;0,ABS(F7)&lt;0.005),"已匹配",IF(E7&gt;0,IF(F7&lt;-0.005,"超额回款","部分回款"),"未回款"))</f>
        <v/>
      </c>
    </row>
    <row r="8">
      <c r="A8" s="18" t="inlineStr">
        <is>
          <t>DE-005</t>
        </is>
      </c>
      <c r="B8" s="6" t="inlineStr">
        <is>
          <t>上海晨光文具股份有限公司（九木杂物社）</t>
        </is>
      </c>
      <c r="C8" s="48">
        <f>SUMIF('📦 销售出库'!$C$4:$C$48,$A8,'📦 销售出库'!$K$4:$K$48)</f>
        <v/>
      </c>
      <c r="D8" s="48">
        <f>SUMIF('🏪 Sell-Through'!$C$4:$C$28,$A8,'🏪 Sell-Through'!$H$4:$H$28)</f>
        <v/>
      </c>
      <c r="E8" s="48">
        <f>SUMIF('💰 银行回款'!$J$4:$J$25,$A8,'💰 银行回款'!$D$4:$D$25)</f>
        <v/>
      </c>
      <c r="F8" s="48">
        <f>C8-E8</f>
        <v/>
      </c>
      <c r="G8" s="18">
        <f>IF(AND(E8&gt;0,ABS(F8)&lt;0.005),"已匹配",IF(E8&gt;0,IF(F8&lt;-0.005,"超额回款","部分回款"),"未回款"))</f>
        <v/>
      </c>
    </row>
    <row r="9">
      <c r="A9" s="20" t="inlineStr">
        <is>
          <t>DE-006</t>
        </is>
      </c>
      <c r="B9" s="8" t="inlineStr">
        <is>
          <t>沃尔玛（中国）投资有限公司</t>
        </is>
      </c>
      <c r="C9" s="49">
        <f>SUMIF('📦 销售出库'!$C$4:$C$48,$A9,'📦 销售出库'!$K$4:$K$48)</f>
        <v/>
      </c>
      <c r="D9" s="49">
        <f>SUMIF('🏪 Sell-Through'!$C$4:$C$28,$A9,'🏪 Sell-Through'!$H$4:$H$28)</f>
        <v/>
      </c>
      <c r="E9" s="49">
        <f>SUMIF('💰 银行回款'!$J$4:$J$25,$A9,'💰 银行回款'!$D$4:$D$25)</f>
        <v/>
      </c>
      <c r="F9" s="49">
        <f>C9-E9</f>
        <v/>
      </c>
      <c r="G9" s="20">
        <f>IF(AND(E9&gt;0,ABS(F9)&lt;0.005),"已匹配",IF(E9&gt;0,IF(F9&lt;-0.005,"超额回款","部分回款"),"未回款"))</f>
        <v/>
      </c>
    </row>
    <row r="10">
      <c r="A10" s="18" t="inlineStr">
        <is>
          <t>DE-007</t>
        </is>
      </c>
      <c r="B10" s="6" t="inlineStr">
        <is>
          <t>抖音电商（官方旗舰店）</t>
        </is>
      </c>
      <c r="C10" s="48">
        <f>SUMIF('📦 销售出库'!$C$4:$C$48,$A10,'📦 销售出库'!$K$4:$K$48)</f>
        <v/>
      </c>
      <c r="D10" s="48">
        <f>SUMIF('🏪 Sell-Through'!$C$4:$C$28,$A10,'🏪 Sell-Through'!$H$4:$H$28)</f>
        <v/>
      </c>
      <c r="E10" s="48">
        <f>SUMIF('💰 银行回款'!$J$4:$J$25,$A10,'💰 银行回款'!$D$4:$D$25)</f>
        <v/>
      </c>
      <c r="F10" s="48">
        <f>C10-E10</f>
        <v/>
      </c>
      <c r="G10" s="18">
        <f>IF(AND(E10&gt;0,ABS(F10)&lt;0.005),"已匹配",IF(E10&gt;0,IF(F10&lt;-0.005,"超额回款","部分回款"),"未回款"))</f>
        <v/>
      </c>
    </row>
    <row r="11">
      <c r="A11" s="20" t="inlineStr">
        <is>
          <t>DE-008</t>
        </is>
      </c>
      <c r="B11" s="8" t="inlineStr">
        <is>
          <t>TikTok Shop（跨境）</t>
        </is>
      </c>
      <c r="C11" s="49">
        <f>SUMIF('📦 销售出库'!$C$4:$C$48,$A11,'📦 销售出库'!$K$4:$K$48)</f>
        <v/>
      </c>
      <c r="D11" s="49">
        <f>SUMIF('🏪 Sell-Through'!$C$4:$C$28,$A11,'🏪 Sell-Through'!$H$4:$H$28)</f>
        <v/>
      </c>
      <c r="E11" s="49">
        <f>SUMIF('💰 银行回款'!$J$4:$J$25,$A11,'💰 银行回款'!$D$4:$D$25)</f>
        <v/>
      </c>
      <c r="F11" s="49">
        <f>C11-E11</f>
        <v/>
      </c>
      <c r="G11" s="20">
        <f>IF(AND(E11&gt;0,ABS(F11)&lt;0.005),"已匹配",IF(E11&gt;0,IF(F11&lt;-0.005,"超额回款","部分回款"),"未回款"))</f>
        <v/>
      </c>
    </row>
    <row r="12">
      <c r="A12" s="18" t="inlineStr">
        <is>
          <t>DE-009</t>
        </is>
      </c>
      <c r="B12" s="6" t="inlineStr">
        <is>
          <t>广州潮玩前线贸易有限公司</t>
        </is>
      </c>
      <c r="C12" s="48">
        <f>SUMIF('📦 销售出库'!$C$4:$C$48,$A12,'📦 销售出库'!$K$4:$K$48)</f>
        <v/>
      </c>
      <c r="D12" s="48">
        <f>SUMIF('🏪 Sell-Through'!$C$4:$C$28,$A12,'🏪 Sell-Through'!$H$4:$H$28)</f>
        <v/>
      </c>
      <c r="E12" s="48">
        <f>SUMIF('💰 银行回款'!$J$4:$J$25,$A12,'💰 银行回款'!$D$4:$D$25)</f>
        <v/>
      </c>
      <c r="F12" s="48">
        <f>C12-E12</f>
        <v/>
      </c>
      <c r="G12" s="18">
        <f>IF(AND(E12&gt;0,ABS(F12)&lt;0.005),"已匹配",IF(E12&gt;0,IF(F12&lt;-0.005,"超额回款","部分回款"),"未回款"))</f>
        <v/>
      </c>
    </row>
    <row r="13">
      <c r="A13" s="20" t="inlineStr">
        <is>
          <t>DE-010</t>
        </is>
      </c>
      <c r="B13" s="8" t="inlineStr">
        <is>
          <t>义乌萌物集贸易有限公司</t>
        </is>
      </c>
      <c r="C13" s="49">
        <f>SUMIF('📦 销售出库'!$C$4:$C$48,$A13,'📦 销售出库'!$K$4:$K$48)</f>
        <v/>
      </c>
      <c r="D13" s="49">
        <f>SUMIF('🏪 Sell-Through'!$C$4:$C$28,$A13,'🏪 Sell-Through'!$H$4:$H$28)</f>
        <v/>
      </c>
      <c r="E13" s="49">
        <f>SUMIF('💰 银行回款'!$J$4:$J$25,$A13,'💰 银行回款'!$D$4:$D$25)</f>
        <v/>
      </c>
      <c r="F13" s="49">
        <f>C13-E13</f>
        <v/>
      </c>
      <c r="G13" s="20">
        <f>IF(AND(E13&gt;0,ABS(F13)&lt;0.005),"已匹配",IF(E13&gt;0,IF(F13&lt;-0.005,"超额回款","部分回款"),"未回款"))</f>
        <v/>
      </c>
    </row>
    <row r="14">
      <c r="A14" s="42" t="inlineStr">
        <is>
          <t>合计</t>
        </is>
      </c>
      <c r="B14" s="42" t="n"/>
      <c r="C14" s="43">
        <f>SUM(C4:C13)</f>
        <v/>
      </c>
      <c r="D14" s="43">
        <f>SUM(D4:D13)</f>
        <v/>
      </c>
      <c r="E14" s="43">
        <f>SUM(E4:E13)</f>
        <v/>
      </c>
      <c r="F14" s="43">
        <f>C14-E14</f>
        <v/>
      </c>
      <c r="G14" s="42" t="inlineStr"/>
    </row>
    <row r="16" ht="22" customHeight="1">
      <c r="A16" s="50" t="inlineStr">
        <is>
          <t>⚠ 待核对事项（差异清单）</t>
        </is>
      </c>
    </row>
    <row r="17">
      <c r="A17" s="51" t="inlineStr">
        <is>
          <t>仅列出 |差异| ≥ 0.01 的经销商；黄色=部分/超额回款，红色=未回款。以下金额为按公式口径自动计算的 Python 校验值，与 Excel 公式结果一致。</t>
        </is>
      </c>
    </row>
    <row r="18" ht="32" customHeight="1">
      <c r="A18" s="52" t="inlineStr">
        <is>
          <t>· 【DE-001】名创优品（广州）有限责任公司：应收 ¥324,160.00 / 已回 ¥289,848.80 / 差异 ¥34,311.20（回款率 89%）→ 部分回款，建议按销售单逐笔核销回款备注）</t>
        </is>
      </c>
    </row>
    <row r="19" ht="32" customHeight="1">
      <c r="A19" s="52" t="inlineStr">
        <is>
          <t>· 【DE-002】酷乐潮玩（北京）贸易有限公司：应收 ¥154,089.10 / 已回 ¥116,274.40 / 差异 ¥37,814.70（回款率 75%）→ 部分回款，建议按销售单逐笔核销回款备注（回款备注：6月货款 BabyCat盲盒+端盒（场景6:付款方名称不规范））</t>
        </is>
      </c>
    </row>
    <row r="20" ht="32" customHeight="1">
      <c r="A20" s="52" t="inlineStr">
        <is>
          <t>· 【DE-003】TOPTOY（广州）文化发展有限公司：应收 ¥311,883.00 / 已回 ¥87,056.00 / 差异 ¥224,827.00（回款率 28%）→ 部分回款，建议按销售单逐笔核销回款备注（回款备注：6月部分货款 单号SO-20260618-016（场景2:部分回款））</t>
        </is>
      </c>
    </row>
    <row r="21" ht="32" customHeight="1">
      <c r="A21" s="52" t="inlineStr">
        <is>
          <t>· 【DE-004】广州KK馆贸易有限公司：应收 ¥57,374.00 / 已回 ¥54,010.00 / 差异 ¥3,364.00（回款率 94%）→ 小额差异，建议核对抹零 / 手续费 / 四舍五入（回款备注：6-7月货款（场景8:含退货冲销））</t>
        </is>
      </c>
    </row>
    <row r="22" ht="32" customHeight="1">
      <c r="A22" s="52" t="inlineStr">
        <is>
          <t>· 【DE-005】上海晨光文具股份有限公司（九木杂物社）：应收 ¥55,978.70 / 已回 ¥40,542.00 / 差异 ¥15,436.70（回款率 72%）→ 部分回款，建议按销售单逐笔核销回款备注（回款备注：5月货款 单号SO-20260512-024（场景7:逾期15天到账））</t>
        </is>
      </c>
    </row>
    <row r="23" ht="32" customHeight="1">
      <c r="A23" s="52" t="inlineStr">
        <is>
          <t>· 【DE-006】沃尔玛（中国）投资有限公司：应收 ¥101,507.50 / 已回 ¥17,575.00 / 差异 ¥83,932.50（回款率 17%）→ 部分回款，建议按销售单逐笔核销回款备注）</t>
        </is>
      </c>
    </row>
    <row r="24" ht="32" customHeight="1">
      <c r="A24" s="52" t="inlineStr">
        <is>
          <t>· 【DE-007】抖音电商（官方旗舰店）：应收 ¥121,600.00 / 已回 ¥134,310.00 / 差异 ¥-12,710.00（回款率 110%）→ 超额回款（疑似预付款 / 跨期冲销），建议确认入账口径（回款备注：7月新品订货预付款（场景4:预付款））</t>
        </is>
      </c>
    </row>
    <row r="25" ht="32" customHeight="1">
      <c r="A25" s="52" t="inlineStr">
        <is>
          <t>· 【DE-008】TikTok Shop（跨境）：应收 ¥72,650.00 / 已回 ¥19,607.00 / 差异 ¥53,043.00（回款率 27%）→ 部分回款，建议按销售单逐笔核销回款备注（回款备注：TikTok Shop US 6月结算 $2756.00@7.1123 ）</t>
        </is>
      </c>
    </row>
    <row r="26" ht="32" customHeight="1">
      <c r="A26" s="52" t="inlineStr">
        <is>
          <t>· 【DE-009】广州潮玩前线贸易有限公司：应收 ¥121,281.50 / 已回 ¥54,865.63 / 差异 ¥66,415.87（回款率 45%）→ 部分回款，建议按销售单逐笔核销回款备注（回款备注：7月货款 单号SO-20260720-044（场景5:抹零差异¥0.67）</t>
        </is>
      </c>
    </row>
    <row r="27" ht="32" customHeight="1">
      <c r="A27" s="52" t="inlineStr">
        <is>
          <t>· 【DE-010】义乌萌物集贸易有限公司：应收 ¥41,467.50 / 已回 ¥40,034.00 / 差异 ¥1,433.50（回款率 97%）→ 小额差异，建议核对抹零 / 手续费 / 四舍五入（回款备注：5月货款（场景10:少付¥1.00））</t>
        </is>
      </c>
    </row>
    <row r="28" ht="18" customHeight="1">
      <c r="A28" s="52" t="inlineStr">
        <is>
          <t>· 【退货冲销】广州KK馆贸易有限公司 BLIND-02 -30 件，金额 ¥-2,850.00（已计入应收负数，回款含退货冲销，已核销）</t>
        </is>
      </c>
    </row>
  </sheetData>
  <mergeCells count="15">
    <mergeCell ref="A1:G1"/>
    <mergeCell ref="A2:G2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</mergeCells>
  <conditionalFormatting sqref="A4:G13">
    <cfRule type="expression" priority="1" dxfId="0">
      <formula>$G4="已匹配"</formula>
    </cfRule>
    <cfRule type="expression" priority="2" dxfId="1">
      <formula>OR($G4="部分回款",$G4="超额回款")</formula>
    </cfRule>
    <cfRule type="expression" priority="3" dxfId="2">
      <formula>$G4="未回款"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3.5" customWidth="1" min="2" max="2"/>
    <col width="23.85" customWidth="1" min="3" max="3"/>
    <col width="23.85" customWidth="1" min="4" max="4"/>
    <col width="27.3" customWidth="1" min="5" max="5"/>
    <col width="22.7" customWidth="1" min="6" max="6"/>
    <col width="10" customWidth="1" min="7" max="7"/>
    <col width="15.8" customWidth="1" min="8" max="8"/>
    <col width="13.5" customWidth="1" min="9" max="9"/>
    <col width="57.2" customWidth="1" min="10" max="10"/>
  </cols>
  <sheetData>
    <row r="1" ht="30" customHeight="1">
      <c r="A1" s="16" t="inlineStr">
        <is>
          <t>🎨 艺术家版税结算（销售后结算口径）</t>
        </is>
      </c>
    </row>
    <row r="2" ht="18" customHeight="1">
      <c r="A2" s="17" t="inlineStr">
        <is>
          <t>版税基数 = 关联SKU对应销售规格的实收金额合计（SUMIF 引用『📦 销售出库』）；应付版税 = 基数 × 分成比例。</t>
        </is>
      </c>
    </row>
    <row r="3">
      <c r="A3" s="5" t="inlineStr">
        <is>
          <t>艺术家编码</t>
        </is>
      </c>
      <c r="B3" s="5" t="inlineStr">
        <is>
          <t>艺术家姓名</t>
        </is>
      </c>
      <c r="C3" s="5" t="inlineStr">
        <is>
          <t>身份类型</t>
        </is>
      </c>
      <c r="D3" s="5" t="inlineStr">
        <is>
          <t>关联SKU</t>
        </is>
      </c>
      <c r="E3" s="5" t="inlineStr">
        <is>
          <t>对应销售规格(自动匹配)</t>
        </is>
      </c>
      <c r="F3" s="5" t="inlineStr">
        <is>
          <t>版税基数(销售实收)</t>
        </is>
      </c>
      <c r="G3" s="5" t="inlineStr">
        <is>
          <t>分成比例</t>
        </is>
      </c>
      <c r="H3" s="5" t="inlineStr">
        <is>
          <t>应付版税(元)</t>
        </is>
      </c>
      <c r="I3" s="5" t="inlineStr">
        <is>
          <t>结算方式</t>
        </is>
      </c>
      <c r="J3" s="5" t="inlineStr">
        <is>
          <t>状态/备注</t>
        </is>
      </c>
    </row>
    <row r="4" ht="34" customHeight="1">
      <c r="A4" s="18" t="inlineStr">
        <is>
          <t>AR-001</t>
        </is>
      </c>
      <c r="B4" s="53" t="inlineStr">
        <is>
          <t>林小喵</t>
        </is>
      </c>
      <c r="C4" s="53" t="inlineStr">
        <is>
          <t>独立潮玩设计师</t>
        </is>
      </c>
      <c r="D4" s="53" t="inlineStr">
        <is>
          <t>BC-01,BC-07</t>
        </is>
      </c>
      <c r="E4" s="6" t="inlineStr">
        <is>
          <t>OPEN-BC-01</t>
        </is>
      </c>
      <c r="F4" s="48">
        <f>ROUND(SUMIF('📦 销售出库'!$E$4:$E$48,"OPEN-BC-01",'📦 销售出库'!$K$4:$K$48),2)</f>
        <v/>
      </c>
      <c r="G4" s="22" t="n">
        <v>0.08</v>
      </c>
      <c r="H4" s="48">
        <f>ROUND(F4*G4,2)</f>
        <v/>
      </c>
      <c r="I4" s="53" t="inlineStr">
        <is>
          <t>销售后结算</t>
        </is>
      </c>
      <c r="J4" s="6" t="inlineStr">
        <is>
          <t>BC-07 隐藏款随盲盒/套装随机出货，无独立销售规格，建议按套盒分摊口径另行测算</t>
        </is>
      </c>
    </row>
    <row r="5" ht="34" customHeight="1">
      <c r="A5" s="20" t="inlineStr">
        <is>
          <t>AR-002</t>
        </is>
      </c>
      <c r="B5" s="54" t="inlineStr">
        <is>
          <t>陈卷卷</t>
        </is>
      </c>
      <c r="C5" s="54" t="inlineStr">
        <is>
          <t>自由插画师</t>
        </is>
      </c>
      <c r="D5" s="54" t="inlineStr">
        <is>
          <t>BC-02</t>
        </is>
      </c>
      <c r="E5" s="8" t="inlineStr">
        <is>
          <t>无直接对应</t>
        </is>
      </c>
      <c r="F5" s="49" t="n">
        <v>0</v>
      </c>
      <c r="G5" s="23" t="n">
        <v>0.07000000000000001</v>
      </c>
      <c r="H5" s="49">
        <f>ROUND(F5*G5,2)</f>
        <v/>
      </c>
      <c r="I5" s="54" t="inlineStr">
        <is>
          <t>销售后结算</t>
        </is>
      </c>
      <c r="J5" s="8" t="inlineStr">
        <is>
          <t>BC-02 当期无对应销售规格</t>
        </is>
      </c>
    </row>
    <row r="6" ht="34" customHeight="1">
      <c r="A6" s="18" t="inlineStr">
        <is>
          <t>AR-003</t>
        </is>
      </c>
      <c r="B6" s="53" t="inlineStr">
        <is>
          <t>周布布</t>
        </is>
      </c>
      <c r="C6" s="53" t="inlineStr">
        <is>
          <t>猫主题IP创作者</t>
        </is>
      </c>
      <c r="D6" s="53" t="inlineStr">
        <is>
          <t>BC-03,BC-06</t>
        </is>
      </c>
      <c r="E6" s="6" t="inlineStr">
        <is>
          <t>OPEN-BC-03</t>
        </is>
      </c>
      <c r="F6" s="48">
        <f>ROUND(SUMIF('📦 销售出库'!$E$4:$E$48,"OPEN-BC-03",'📦 销售出库'!$K$4:$K$48),2)</f>
        <v/>
      </c>
      <c r="G6" s="22" t="n">
        <v>0.08</v>
      </c>
      <c r="H6" s="48">
        <f>ROUND(F6*G6,2)</f>
        <v/>
      </c>
      <c r="I6" s="53" t="inlineStr">
        <is>
          <t>销售后结算</t>
        </is>
      </c>
      <c r="J6" s="6" t="inlineStr">
        <is>
          <t>BC-06 当期无对应销售规格</t>
        </is>
      </c>
    </row>
    <row r="7" ht="34" customHeight="1">
      <c r="A7" s="20" t="inlineStr">
        <is>
          <t>AR-004</t>
        </is>
      </c>
      <c r="B7" s="54" t="inlineStr">
        <is>
          <t>刘星野</t>
        </is>
      </c>
      <c r="C7" s="54" t="inlineStr">
        <is>
          <t>新锐玩具设计师</t>
        </is>
      </c>
      <c r="D7" s="54" t="inlineStr">
        <is>
          <t>BC-04,BC-05</t>
        </is>
      </c>
      <c r="E7" s="8" t="inlineStr">
        <is>
          <t>无直接对应</t>
        </is>
      </c>
      <c r="F7" s="49" t="n">
        <v>0</v>
      </c>
      <c r="G7" s="23" t="n">
        <v>0.07000000000000001</v>
      </c>
      <c r="H7" s="49">
        <f>ROUND(F7*G7,2)</f>
        <v/>
      </c>
      <c r="I7" s="54" t="inlineStr">
        <is>
          <t>销售后结算</t>
        </is>
      </c>
      <c r="J7" s="8" t="inlineStr">
        <is>
          <t>BC-04 当期无对应销售规格；BC-05 当期无对应销售规格</t>
        </is>
      </c>
    </row>
    <row r="8" ht="34" customHeight="1">
      <c r="A8" s="18" t="inlineStr">
        <is>
          <t>AR-005</t>
        </is>
      </c>
      <c r="B8" s="53" t="inlineStr">
        <is>
          <t>赵小喵</t>
        </is>
      </c>
      <c r="C8" s="53" t="inlineStr">
        <is>
          <t>小红书潮玩博主</t>
        </is>
      </c>
      <c r="D8" s="53" t="inlineStr">
        <is>
          <t>BC-08</t>
        </is>
      </c>
      <c r="E8" s="6" t="inlineStr">
        <is>
          <t>无直接对应</t>
        </is>
      </c>
      <c r="F8" s="48" t="n">
        <v>0</v>
      </c>
      <c r="G8" s="22" t="n">
        <v>0.1</v>
      </c>
      <c r="H8" s="48">
        <f>ROUND(F8*G8,2)</f>
        <v/>
      </c>
      <c r="I8" s="53" t="inlineStr">
        <is>
          <t>预付+结算</t>
        </is>
      </c>
      <c r="J8" s="6" t="inlineStr">
        <is>
          <t>含预付 ¥5,000（见合同 CT-2026-005），结算时抵扣；BC-08 隐藏款随盲盒/套装随机出货，无独立销售规格，建议按套盒分摊口径另行测算</t>
        </is>
      </c>
    </row>
    <row r="9" ht="34" customHeight="1">
      <c r="A9" s="20" t="inlineStr">
        <is>
          <t>AR-006</t>
        </is>
      </c>
      <c r="B9" s="54" t="inlineStr">
        <is>
          <t>黄多多</t>
        </is>
      </c>
      <c r="C9" s="54" t="inlineStr">
        <is>
          <t>在校艺术生/草根画手</t>
        </is>
      </c>
      <c r="D9" s="54" t="inlineStr">
        <is>
          <t>BC-ACC-01,BC-ACC-02</t>
        </is>
      </c>
      <c r="E9" s="8" t="inlineStr">
        <is>
          <t>ACC-01、ACC-02</t>
        </is>
      </c>
      <c r="F9" s="49">
        <f>ROUND(SUMIF('📦 销售出库'!$E$4:$E$48,"ACC-01",'📦 销售出库'!$K$4:$K$48)+SUMIF('📦 销售出库'!$E$4:$E$48,"ACC-02",'📦 销售出库'!$K$4:$K$48),2)</f>
        <v/>
      </c>
      <c r="G9" s="23" t="n">
        <v>0.06</v>
      </c>
      <c r="H9" s="49">
        <f>ROUND(F9*G9,2)</f>
        <v/>
      </c>
      <c r="I9" s="54" t="inlineStr">
        <is>
          <t>销售后结算</t>
        </is>
      </c>
      <c r="J9" s="8" t="inlineStr">
        <is>
          <t>BC-ACC-01 与销售规格 ACC-01 编码不一致（疑缺BC前缀），本期按映射计入，建议与艺术家确认口径；BC-ACC-02 与销售规格 ACC-02 编码不一致（疑缺BC前缀），本期按映射计入，建议与艺术家确认口径</t>
        </is>
      </c>
    </row>
    <row r="10" ht="34" customHeight="1">
      <c r="A10" s="18" t="inlineStr">
        <is>
          <t>AR-007</t>
        </is>
      </c>
      <c r="B10" s="53" t="inlineStr">
        <is>
          <t>何梦鹿</t>
        </is>
      </c>
      <c r="C10" s="53" t="inlineStr">
        <is>
          <t>自由职业插画师</t>
        </is>
      </c>
      <c r="D10" s="53" t="inlineStr">
        <is>
          <t>BC-ACC-03,BC-ACC-04</t>
        </is>
      </c>
      <c r="E10" s="6" t="inlineStr">
        <is>
          <t>ACC-04</t>
        </is>
      </c>
      <c r="F10" s="48">
        <f>ROUND(SUMIF('📦 销售出库'!$E$4:$E$48,"ACC-04",'📦 销售出库'!$K$4:$K$48),2)</f>
        <v/>
      </c>
      <c r="G10" s="22" t="n">
        <v>0.06</v>
      </c>
      <c r="H10" s="48">
        <f>ROUND(F10*G10,2)</f>
        <v/>
      </c>
      <c r="I10" s="53" t="inlineStr">
        <is>
          <t>销售后结算</t>
        </is>
      </c>
      <c r="J10" s="6" t="inlineStr">
        <is>
          <t>BC-ACC-03 当期无对应销售规格；BC-ACC-04 与销售规格 ACC-04 编码不一致（疑缺BC前缀），本期按映射计入，建议与艺术家确认口径</t>
        </is>
      </c>
    </row>
    <row r="11" ht="34" customHeight="1">
      <c r="A11" s="20" t="inlineStr">
        <is>
          <t>AR-008</t>
        </is>
      </c>
      <c r="B11" s="54" t="inlineStr">
        <is>
          <t>杨桃桃</t>
        </is>
      </c>
      <c r="C11" s="54" t="inlineStr">
        <is>
          <t>纹身师兼玩具涂装师</t>
        </is>
      </c>
      <c r="D11" s="54" t="inlineStr">
        <is>
          <t>BC-ACC-05,BC-ACC-06</t>
        </is>
      </c>
      <c r="E11" s="8" t="inlineStr">
        <is>
          <t>ACC-06</t>
        </is>
      </c>
      <c r="F11" s="49">
        <f>ROUND(SUMIF('📦 销售出库'!$E$4:$E$48,"ACC-06",'📦 销售出库'!$K$4:$K$48),2)</f>
        <v/>
      </c>
      <c r="G11" s="23" t="n">
        <v>0.06</v>
      </c>
      <c r="H11" s="49">
        <f>ROUND(F11*G11,2)</f>
        <v/>
      </c>
      <c r="I11" s="54" t="inlineStr">
        <is>
          <t>销售后结算</t>
        </is>
      </c>
      <c r="J11" s="8" t="inlineStr">
        <is>
          <t>BC-ACC-05 当期无对应销售规格；BC-ACC-06 与销售规格 ACC-06 编码不一致（疑缺BC前缀），本期按映射计入，建议与艺术家确认口径</t>
        </is>
      </c>
    </row>
    <row r="12">
      <c r="A12" s="42" t="inlineStr">
        <is>
          <t>合计</t>
        </is>
      </c>
      <c r="B12" s="42" t="n"/>
      <c r="C12" s="42" t="n"/>
      <c r="D12" s="42" t="n"/>
      <c r="E12" s="42" t="n"/>
      <c r="F12" s="43">
        <f>SUM(F4:F11)</f>
        <v/>
      </c>
      <c r="G12" s="42" t="n"/>
      <c r="H12" s="43">
        <f>SUM(H4:H11)</f>
        <v/>
      </c>
      <c r="I12" s="42" t="n"/>
      <c r="J12" s="42" t="n"/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8.1" customWidth="1" min="2" max="2"/>
    <col width="13.5" customWidth="1" min="3" max="3"/>
    <col width="13.5" customWidth="1" min="4" max="4"/>
    <col width="8" customWidth="1" min="5" max="5"/>
    <col width="23.85" customWidth="1" min="6" max="6"/>
    <col width="10.05" customWidth="1" min="7" max="7"/>
    <col width="8.899999999999999" customWidth="1" min="8" max="8"/>
    <col width="10.05" customWidth="1" min="9" max="9"/>
    <col width="19.25" customWidth="1" min="10" max="10"/>
    <col width="8.899999999999999" customWidth="1" min="11" max="11"/>
  </cols>
  <sheetData>
    <row r="1" ht="30" customHeight="1">
      <c r="A1" s="16" t="inlineStr">
        <is>
          <t>🎪 展会核算（3 场）</t>
        </is>
      </c>
    </row>
    <row r="2" ht="18" customHeight="1">
      <c r="A2" s="17" t="inlineStr">
        <is>
          <t>毛利率 = 净收入 ÷ 总收入；收款方式为现场收款渠道（微信/支付宝/POS）。</t>
        </is>
      </c>
    </row>
    <row r="3">
      <c r="A3" s="5" t="inlineStr">
        <is>
          <t>活动编码</t>
        </is>
      </c>
      <c r="B3" s="5" t="inlineStr">
        <is>
          <t>活动名称</t>
        </is>
      </c>
      <c r="C3" s="5" t="inlineStr">
        <is>
          <t>开始日期</t>
        </is>
      </c>
      <c r="D3" s="5" t="inlineStr">
        <is>
          <t>结束日期</t>
        </is>
      </c>
      <c r="E3" s="5" t="inlineStr">
        <is>
          <t>地点</t>
        </is>
      </c>
      <c r="F3" s="5" t="inlineStr">
        <is>
          <t>收入类型</t>
        </is>
      </c>
      <c r="G3" s="5" t="inlineStr">
        <is>
          <t>总收入</t>
        </is>
      </c>
      <c r="H3" s="5" t="inlineStr">
        <is>
          <t>费用</t>
        </is>
      </c>
      <c r="I3" s="5" t="inlineStr">
        <is>
          <t>净收入</t>
        </is>
      </c>
      <c r="J3" s="5" t="inlineStr">
        <is>
          <t>收款方式</t>
        </is>
      </c>
      <c r="K3" s="5" t="inlineStr">
        <is>
          <t>毛利率</t>
        </is>
      </c>
    </row>
    <row r="4">
      <c r="A4" s="18" t="inlineStr">
        <is>
          <t>CTE-001</t>
        </is>
      </c>
      <c r="B4" s="6" t="inlineStr">
        <is>
          <t>CTE玩具展</t>
        </is>
      </c>
      <c r="C4" s="24" t="n">
        <v>45915</v>
      </c>
      <c r="D4" s="24" t="n">
        <v>45917</v>
      </c>
      <c r="E4" s="6" t="inlineStr">
        <is>
          <t>深圳</t>
        </is>
      </c>
      <c r="F4" s="6" t="inlineStr">
        <is>
          <t>现场零售+预售</t>
        </is>
      </c>
      <c r="G4" s="38" t="n">
        <v>15680</v>
      </c>
      <c r="H4" s="38" t="n">
        <v>2340</v>
      </c>
      <c r="I4" s="38" t="n">
        <v>13340</v>
      </c>
      <c r="J4" s="6" t="inlineStr">
        <is>
          <t>微信/支付宝/POS</t>
        </is>
      </c>
      <c r="K4" s="22">
        <f>IF(G4=0,"",I4/G4)</f>
        <v/>
      </c>
    </row>
    <row r="5">
      <c r="A5" s="20" t="inlineStr">
        <is>
          <t>HTE-001</t>
        </is>
      </c>
      <c r="B5" s="8" t="inlineStr">
        <is>
          <t>HTE杭州潮玩展</t>
        </is>
      </c>
      <c r="C5" s="27" t="n">
        <v>46108</v>
      </c>
      <c r="D5" s="27" t="n">
        <v>46110</v>
      </c>
      <c r="E5" s="8" t="inlineStr">
        <is>
          <t>杭州</t>
        </is>
      </c>
      <c r="F5" s="8" t="inlineStr">
        <is>
          <t>现场零售</t>
        </is>
      </c>
      <c r="G5" s="40" t="n">
        <v>12350</v>
      </c>
      <c r="H5" s="40" t="n">
        <v>1860</v>
      </c>
      <c r="I5" s="40" t="n">
        <v>10490</v>
      </c>
      <c r="J5" s="8" t="inlineStr">
        <is>
          <t>微信/支付宝</t>
        </is>
      </c>
      <c r="K5" s="23">
        <f>IF(G5=0,"",I5/G5)</f>
        <v/>
      </c>
    </row>
    <row r="6">
      <c r="A6" s="18" t="inlineStr">
        <is>
          <t>POP-001</t>
        </is>
      </c>
      <c r="B6" s="6" t="inlineStr">
        <is>
          <t>济南圣诞快闪店</t>
        </is>
      </c>
      <c r="C6" s="24" t="n">
        <v>45997</v>
      </c>
      <c r="D6" s="24" t="n">
        <v>46017</v>
      </c>
      <c r="E6" s="6" t="inlineStr">
        <is>
          <t>济南</t>
        </is>
      </c>
      <c r="F6" s="6" t="inlineStr">
        <is>
          <t>快闪店零售+吊卡首发</t>
        </is>
      </c>
      <c r="G6" s="38" t="n">
        <v>44118</v>
      </c>
      <c r="H6" s="38" t="n">
        <v>5200</v>
      </c>
      <c r="I6" s="38" t="n">
        <v>38918</v>
      </c>
      <c r="J6" s="6" t="inlineStr">
        <is>
          <t>微信/支付宝/POS</t>
        </is>
      </c>
      <c r="K6" s="22">
        <f>IF(G6=0,"",I6/G6)</f>
        <v/>
      </c>
    </row>
    <row r="7">
      <c r="A7" s="42" t="inlineStr">
        <is>
          <t>合计</t>
        </is>
      </c>
      <c r="B7" s="42" t="n"/>
      <c r="C7" s="42" t="n"/>
      <c r="D7" s="42" t="n"/>
      <c r="E7" s="42" t="n"/>
      <c r="F7" s="42" t="n"/>
      <c r="G7" s="43">
        <f>SUM(G4:G6)</f>
        <v/>
      </c>
      <c r="H7" s="43">
        <f>SUM(H4:H6)</f>
        <v/>
      </c>
      <c r="I7" s="43">
        <f>SUM(I4:I6)</f>
        <v/>
      </c>
      <c r="J7" s="42" t="n"/>
      <c r="K7" s="55">
        <f>IF(G7=0,"",I7/G7)</f>
        <v/>
      </c>
    </row>
  </sheetData>
  <autoFilter ref="A3:K6"/>
  <mergeCells count="2">
    <mergeCell ref="A1:K1"/>
    <mergeCell ref="A2:K2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:r="http://schemas.openxmlformats.org/officeDocument/2006/relationships" xmlns="http://schemas.openxmlformats.org/spreadsheetml/2006/main">
  <sheetPr>
    <tabColor rgb="0070AD47"/>
    <outlinePr summaryBelow="1" summaryRight="1"/>
    <pageSetUpPr fitToPage="1"/>
  </sheetPr>
  <dimension ref="A1:Q5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4" customWidth="1" min="3" max="3"/>
    <col width="14" customWidth="1" min="4" max="4"/>
    <col width="12" customWidth="1" min="5" max="5"/>
    <col width="12" customWidth="1" min="6" max="6"/>
    <col width="22" customWidth="1" min="7" max="7"/>
    <col width="10" customWidth="1" min="8" max="8"/>
    <col width="10" customWidth="1" min="9" max="9"/>
    <col width="10" customWidth="1" min="10" max="10"/>
    <col width="11" customWidth="1" min="11" max="11"/>
    <col width="14" customWidth="1" min="12" max="12"/>
    <col width="14" customWidth="1" min="13" max="13"/>
    <col width="10" customWidth="1" min="14" max="14"/>
  </cols>
  <sheetData>
    <row r="1" ht="34" customHeight="1">
      <c r="A1" s="56" t="inlineStr">
        <is>
          <t>📊 BabyCat 财务对账 Dashboard</t>
        </is>
      </c>
    </row>
    <row r="2">
      <c r="A2" s="57" t="inlineStr">
        <is>
          <t>数据期间 2026年5—7月  ·  对账基准日 2026-08-11（F31 可修改，账龄自动重算）  ·  全部指标由公式自动计算</t>
        </is>
      </c>
    </row>
    <row r="4" ht="20" customHeight="1">
      <c r="D4" s="58" t="inlineStr">
        <is>
          <t>总应收（销售实收）</t>
        </is>
      </c>
      <c r="F4" s="58" t="inlineStr">
        <is>
          <t>总已回（银行回款）</t>
        </is>
      </c>
      <c r="H4" s="58" t="inlineStr">
        <is>
          <t>净差异（应收-已回）</t>
        </is>
      </c>
      <c r="J4" s="58" t="inlineStr">
        <is>
          <t>对账完成率</t>
        </is>
      </c>
    </row>
    <row r="5" ht="30" customHeight="1">
      <c r="D5" s="59">
        <f>SUM('🔗 经销商对账'!$C$4:$C$13)</f>
        <v/>
      </c>
      <c r="F5" s="59">
        <f>SUM('🔗 经销商对账'!$E$4:$E$13)</f>
        <v/>
      </c>
      <c r="H5" s="59">
        <f>A5-C5</f>
        <v/>
      </c>
      <c r="J5" s="60">
        <f>IF(A5=0,0,C5/A5)</f>
        <v/>
      </c>
    </row>
    <row r="7" ht="22" customHeight="1">
      <c r="A7" s="3" t="inlineStr">
        <is>
          <t>① 经销商应收 vs 已回（元）</t>
        </is>
      </c>
      <c r="K7" s="3" t="inlineStr">
        <is>
          <t>② 月度销售/回款趋势（2026年5-7月）</t>
        </is>
      </c>
    </row>
    <row r="8">
      <c r="K8" s="5" t="inlineStr">
        <is>
          <t>月份</t>
        </is>
      </c>
      <c r="L8" s="5" t="inlineStr">
        <is>
          <t>销售额(元)</t>
        </is>
      </c>
      <c r="M8" s="5" t="inlineStr">
        <is>
          <t>回款额(元)</t>
        </is>
      </c>
    </row>
    <row r="9">
      <c r="K9" t="inlineStr">
        <is>
          <t>2026-05</t>
        </is>
      </c>
      <c r="L9" s="61">
        <f>SUMIFS('📦 销售出库'!$K$4:$K$48,'📦 销售出库'!$B$4:$B$48,"&gt;="&amp;DATE(2026,5,1),'📦 销售出库'!$B$4:$B$48,"&lt;"&amp;DATE(2026,6,1))</f>
        <v/>
      </c>
      <c r="M9" s="61">
        <f>SUMIFS('💰 银行回款'!$D$4:$D$25,'💰 银行回款'!$B$4:$B$25,"&gt;="&amp;DATE(2026,5,1),'💰 银行回款'!$B$4:$B$25,"&lt;"&amp;DATE(2026,6,1))</f>
        <v/>
      </c>
    </row>
    <row r="10">
      <c r="K10" t="inlineStr">
        <is>
          <t>2026-06</t>
        </is>
      </c>
      <c r="L10" s="61">
        <f>SUMIFS('📦 销售出库'!$K$4:$K$48,'📦 销售出库'!$B$4:$B$48,"&gt;="&amp;DATE(2026,6,1),'📦 销售出库'!$B$4:$B$48,"&lt;"&amp;DATE(2026,7,1))</f>
        <v/>
      </c>
      <c r="M10" s="61">
        <f>SUMIFS('💰 银行回款'!$D$4:$D$25,'💰 银行回款'!$B$4:$B$25,"&gt;="&amp;DATE(2026,6,1),'💰 银行回款'!$B$4:$B$25,"&lt;"&amp;DATE(2026,7,1))</f>
        <v/>
      </c>
    </row>
    <row r="11">
      <c r="K11" t="inlineStr">
        <is>
          <t>2026-07</t>
        </is>
      </c>
      <c r="L11" s="61">
        <f>SUMIFS('📦 销售出库'!$K$4:$K$48,'📦 销售出库'!$B$4:$B$48,"&gt;="&amp;DATE(2026,7,1),'📦 销售出库'!$B$4:$B$48,"&lt;"&amp;DATE(2027,1,1))</f>
        <v/>
      </c>
      <c r="M11" s="61">
        <f>SUMIFS('💰 银行回款'!$D$4:$D$25,'💰 银行回款'!$B$4:$B$25,"&gt;="&amp;DATE(2026,7,1),'💰 银行回款'!$B$4:$B$25,"&lt;"&amp;DATE(2027,1,1))</f>
        <v/>
      </c>
    </row>
    <row r="12">
      <c r="K12" s="62" t="inlineStr">
        <is>
          <t>合计</t>
        </is>
      </c>
      <c r="L12" s="63">
        <f>SUM(L9:L11)</f>
        <v/>
      </c>
      <c r="M12" s="63">
        <f>SUM(M9:M11)</f>
        <v/>
      </c>
    </row>
    <row r="29" ht="22" customHeight="1">
      <c r="A29" s="3" t="inlineStr">
        <is>
          <t>③ 应收账款账龄分析（按销售到期日口径，元）</t>
        </is>
      </c>
    </row>
    <row r="30">
      <c r="A30" s="5" t="inlineStr">
        <is>
          <t>账龄区间</t>
        </is>
      </c>
      <c r="B30" s="5" t="inlineStr">
        <is>
          <t>应收金额(元)</t>
        </is>
      </c>
      <c r="C30" s="5" t="inlineStr">
        <is>
          <t>占比</t>
        </is>
      </c>
    </row>
    <row r="31">
      <c r="A31" s="44" t="inlineStr">
        <is>
          <t>未到期(信用期内)</t>
        </is>
      </c>
      <c r="B31" s="64">
        <f>SUMPRODUCT(('📦 销售出库'!$M$4:$M$48&gt;$F$31)*('📦 销售出库'!$K$4:$K$48))</f>
        <v/>
      </c>
      <c r="C31" s="65">
        <f>IF($B$36=0,"",B31/$B$36)</f>
        <v/>
      </c>
      <c r="E31" t="inlineStr">
        <is>
          <t>对账基准日</t>
        </is>
      </c>
      <c r="F31" s="66">
        <f>DATE(2026,8,11)</f>
        <v/>
      </c>
      <c r="G31" s="51" t="inlineStr">
        <is>
          <t>（修改后账龄自动重算）</t>
        </is>
      </c>
    </row>
    <row r="32">
      <c r="A32" s="67" t="inlineStr">
        <is>
          <t>0-30天</t>
        </is>
      </c>
      <c r="B32" s="68">
        <f>SUMPRODUCT(('📦 销售出库'!$M$4:$M$48&lt;=$F$31)*('📦 销售出库'!$M$4:$M$48&gt;$F$31-30)*('📦 销售出库'!$K$4:$K$48))</f>
        <v/>
      </c>
      <c r="C32" s="69">
        <f>IF($B$36=0,"",B32/$B$36)</f>
        <v/>
      </c>
    </row>
    <row r="33">
      <c r="A33" s="44" t="inlineStr">
        <is>
          <t>31-60天</t>
        </is>
      </c>
      <c r="B33" s="64">
        <f>SUMPRODUCT(('📦 销售出库'!$M$4:$M$48&lt;=$F$31-30)*('📦 销售出库'!$M$4:$M$48&gt;$F$31-60)*('📦 销售出库'!$K$4:$K$48))</f>
        <v/>
      </c>
      <c r="C33" s="65">
        <f>IF($B$36=0,"",B33/$B$36)</f>
        <v/>
      </c>
    </row>
    <row r="34">
      <c r="A34" s="67" t="inlineStr">
        <is>
          <t>61-90天</t>
        </is>
      </c>
      <c r="B34" s="68">
        <f>SUMPRODUCT(('📦 销售出库'!$M$4:$M$48&lt;=$F$31-60)*('📦 销售出库'!$M$4:$M$48&gt;$F$31-90)*('📦 销售出库'!$K$4:$K$48))</f>
        <v/>
      </c>
      <c r="C34" s="69">
        <f>IF($B$36=0,"",B34/$B$36)</f>
        <v/>
      </c>
    </row>
    <row r="35">
      <c r="A35" s="44" t="inlineStr">
        <is>
          <t>90天以上</t>
        </is>
      </c>
      <c r="B35" s="64">
        <f>SUMPRODUCT(('📦 销售出库'!$M$4:$M$48&lt;=$F$31-90)*('📦 销售出库'!$K$4:$K$48))</f>
        <v/>
      </c>
      <c r="C35" s="65">
        <f>IF($B$36=0,"",B35/$B$36)</f>
        <v/>
      </c>
    </row>
    <row r="36">
      <c r="A36" s="42" t="inlineStr">
        <is>
          <t>合计</t>
        </is>
      </c>
      <c r="B36" s="43">
        <f>SUM(B31:B35)</f>
        <v/>
      </c>
      <c r="C36" s="55">
        <f>IF($B$36=0,"",B36/B36)</f>
        <v/>
      </c>
    </row>
    <row r="38" ht="28" customHeight="1">
      <c r="A38" s="17" t="inlineStr">
        <is>
          <t>说明：账龄按销售出库到期日与基准日计算（退货冲销负数计入对应区间）；KPI 中净差异为负表示超额回款（预付款/跨期冲销）；完整明细见『🔗 经销商对账』『📦 销售出库』『💰 银行回款』。</t>
        </is>
      </c>
    </row>
    <row r="40">
      <c r="A40" s="51" t="inlineStr">
        <is>
          <t>④ 经销商对账镜像（供图表引用，公式自动同步）</t>
        </is>
      </c>
    </row>
    <row r="41">
      <c r="A41" s="5" t="inlineStr">
        <is>
          <t>经销商编码</t>
        </is>
      </c>
      <c r="B41" s="5" t="inlineStr">
        <is>
          <t>经销商名称</t>
        </is>
      </c>
      <c r="C41" s="5" t="inlineStr">
        <is>
          <t>应收</t>
        </is>
      </c>
      <c r="D41" s="5" t="inlineStr">
        <is>
          <t>已回</t>
        </is>
      </c>
    </row>
    <row r="42">
      <c r="A42" s="70">
        <f>'🔗 经销商对账'!A4</f>
        <v/>
      </c>
      <c r="B42" s="70">
        <f>'🔗 经销商对账'!B4</f>
        <v/>
      </c>
      <c r="C42" s="71">
        <f>'🔗 经销商对账'!C4</f>
        <v/>
      </c>
      <c r="D42" s="71">
        <f>'🔗 经销商对账'!E4</f>
        <v/>
      </c>
    </row>
    <row r="43">
      <c r="A43" s="70">
        <f>'🔗 经销商对账'!A5</f>
        <v/>
      </c>
      <c r="B43" s="70">
        <f>'🔗 经销商对账'!B5</f>
        <v/>
      </c>
      <c r="C43" s="71">
        <f>'🔗 经销商对账'!C5</f>
        <v/>
      </c>
      <c r="D43" s="71">
        <f>'🔗 经销商对账'!E5</f>
        <v/>
      </c>
    </row>
    <row r="44">
      <c r="A44" s="70">
        <f>'🔗 经销商对账'!A6</f>
        <v/>
      </c>
      <c r="B44" s="70">
        <f>'🔗 经销商对账'!B6</f>
        <v/>
      </c>
      <c r="C44" s="71">
        <f>'🔗 经销商对账'!C6</f>
        <v/>
      </c>
      <c r="D44" s="71">
        <f>'🔗 经销商对账'!E6</f>
        <v/>
      </c>
    </row>
    <row r="45">
      <c r="A45" s="70">
        <f>'🔗 经销商对账'!A7</f>
        <v/>
      </c>
      <c r="B45" s="70">
        <f>'🔗 经销商对账'!B7</f>
        <v/>
      </c>
      <c r="C45" s="71">
        <f>'🔗 经销商对账'!C7</f>
        <v/>
      </c>
      <c r="D45" s="71">
        <f>'🔗 经销商对账'!E7</f>
        <v/>
      </c>
    </row>
    <row r="46">
      <c r="A46" s="70">
        <f>'🔗 经销商对账'!A8</f>
        <v/>
      </c>
      <c r="B46" s="70">
        <f>'🔗 经销商对账'!B8</f>
        <v/>
      </c>
      <c r="C46" s="71">
        <f>'🔗 经销商对账'!C8</f>
        <v/>
      </c>
      <c r="D46" s="71">
        <f>'🔗 经销商对账'!E8</f>
        <v/>
      </c>
    </row>
    <row r="47">
      <c r="A47" s="70">
        <f>'🔗 经销商对账'!A9</f>
        <v/>
      </c>
      <c r="B47" s="70">
        <f>'🔗 经销商对账'!B9</f>
        <v/>
      </c>
      <c r="C47" s="71">
        <f>'🔗 经销商对账'!C9</f>
        <v/>
      </c>
      <c r="D47" s="71">
        <f>'🔗 经销商对账'!E9</f>
        <v/>
      </c>
    </row>
    <row r="48">
      <c r="A48" s="70">
        <f>'🔗 经销商对账'!A10</f>
        <v/>
      </c>
      <c r="B48" s="70">
        <f>'🔗 经销商对账'!B10</f>
        <v/>
      </c>
      <c r="C48" s="71">
        <f>'🔗 经销商对账'!C10</f>
        <v/>
      </c>
      <c r="D48" s="71">
        <f>'🔗 经销商对账'!E10</f>
        <v/>
      </c>
    </row>
    <row r="49">
      <c r="A49" s="70">
        <f>'🔗 经销商对账'!A11</f>
        <v/>
      </c>
      <c r="B49" s="70">
        <f>'🔗 经销商对账'!B11</f>
        <v/>
      </c>
      <c r="C49" s="71">
        <f>'🔗 经销商对账'!C11</f>
        <v/>
      </c>
      <c r="D49" s="71">
        <f>'🔗 经销商对账'!E11</f>
        <v/>
      </c>
    </row>
    <row r="50">
      <c r="A50" s="70">
        <f>'🔗 经销商对账'!A12</f>
        <v/>
      </c>
      <c r="B50" s="70">
        <f>'🔗 经销商对账'!B12</f>
        <v/>
      </c>
      <c r="C50" s="71">
        <f>'🔗 经销商对账'!C12</f>
        <v/>
      </c>
      <c r="D50" s="71">
        <f>'🔗 经销商对账'!E12</f>
        <v/>
      </c>
    </row>
    <row r="51">
      <c r="A51" s="70">
        <f>'🔗 经销商对账'!A13</f>
        <v/>
      </c>
      <c r="B51" s="70">
        <f>'🔗 经销商对账'!B13</f>
        <v/>
      </c>
      <c r="C51" s="71">
        <f>'🔗 经销商对账'!C13</f>
        <v/>
      </c>
      <c r="D51" s="71">
        <f>'🔗 经销商对账'!E13</f>
        <v/>
      </c>
    </row>
  </sheetData>
  <mergeCells count="14">
    <mergeCell ref="A1:Q1"/>
    <mergeCell ref="A2:Q2"/>
    <mergeCell ref="D4:E4"/>
    <mergeCell ref="D5:E5"/>
    <mergeCell ref="F4:G4"/>
    <mergeCell ref="F5:G5"/>
    <mergeCell ref="H4:I4"/>
    <mergeCell ref="H5:I5"/>
    <mergeCell ref="J4:K4"/>
    <mergeCell ref="J5:K5"/>
    <mergeCell ref="A7:H7"/>
    <mergeCell ref="K7:N7"/>
    <mergeCell ref="A29:H29"/>
    <mergeCell ref="A38:Q38"/>
  </mergeCells>
  <pageMargins left="0.75" right="0.75" top="1" bottom="1" header="0.5" footer="0.5"/>
  <pageSetup orientation="landscape" fitToHeight="0" fitToWidth="1"/>
  <drawing r:id="rId1"/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65" customWidth="1" min="1" max="1"/>
    <col width="15.8" customWidth="1" min="2" max="2"/>
    <col width="18.1" customWidth="1" min="3" max="3"/>
    <col width="13.5" customWidth="1" min="4" max="4"/>
    <col width="13.5" customWidth="1" min="5" max="5"/>
    <col width="8.899999999999999" customWidth="1" min="6" max="6"/>
    <col width="50.3" customWidth="1" min="7" max="7"/>
    <col width="14.65" customWidth="1" min="8" max="8"/>
    <col width="15.8" customWidth="1" min="9" max="9"/>
    <col width="11.2" customWidth="1" min="10" max="10"/>
  </cols>
  <sheetData>
    <row r="1" ht="30" customHeight="1">
      <c r="A1" s="16" t="inlineStr">
        <is>
          <t>📋 合同发票台账（15 份）</t>
        </is>
      </c>
    </row>
    <row r="2" ht="18" customHeight="1">
      <c r="A2" s="17" t="inlineStr">
        <is>
          <t>进项/销项发票为示例登记；开票状态自动判断：存在发票号 → 已开票，否则 → 待开票。</t>
        </is>
      </c>
    </row>
    <row r="3">
      <c r="A3" s="5" t="inlineStr">
        <is>
          <t>合同编号</t>
        </is>
      </c>
      <c r="B3" s="5" t="inlineStr">
        <is>
          <t>签约方</t>
        </is>
      </c>
      <c r="C3" s="5" t="inlineStr">
        <is>
          <t>合同名称</t>
        </is>
      </c>
      <c r="D3" s="5" t="inlineStr">
        <is>
          <t>签署日期</t>
        </is>
      </c>
      <c r="E3" s="5" t="inlineStr">
        <is>
          <t>到期日期</t>
        </is>
      </c>
      <c r="F3" s="5" t="inlineStr">
        <is>
          <t>状态</t>
        </is>
      </c>
      <c r="G3" s="5" t="inlineStr">
        <is>
          <t>备注</t>
        </is>
      </c>
      <c r="H3" s="5" t="inlineStr">
        <is>
          <t>进项发票</t>
        </is>
      </c>
      <c r="I3" s="5" t="inlineStr">
        <is>
          <t>销项发票</t>
        </is>
      </c>
      <c r="J3" s="5" t="inlineStr">
        <is>
          <t>开票状态</t>
        </is>
      </c>
    </row>
    <row r="4">
      <c r="A4" s="18" t="inlineStr">
        <is>
          <t>CT-2025-001</t>
        </is>
      </c>
      <c r="B4" s="6" t="inlineStr">
        <is>
          <t>摩点平台</t>
        </is>
      </c>
      <c r="C4" s="6" t="inlineStr">
        <is>
          <t>平台服务协议</t>
        </is>
      </c>
      <c r="D4" s="24" t="n">
        <v>45839</v>
      </c>
      <c r="E4" s="24" t="n">
        <v>46204</v>
      </c>
      <c r="F4" s="18" t="inlineStr">
        <is>
          <t>执行中</t>
        </is>
      </c>
      <c r="G4" s="6" t="inlineStr"/>
      <c r="H4" s="18" t="inlineStr">
        <is>
          <t>JX-2026-203</t>
        </is>
      </c>
      <c r="I4" s="18" t="inlineStr"/>
      <c r="J4" s="18">
        <f>IF(OR(H4&lt;&gt;"",I4&lt;&gt;""),"已开票","待开票")</f>
        <v/>
      </c>
    </row>
    <row r="5">
      <c r="A5" s="20" t="inlineStr">
        <is>
          <t>CT-2025-002</t>
        </is>
      </c>
      <c r="B5" s="8" t="inlineStr">
        <is>
          <t>名创优品</t>
        </is>
      </c>
      <c r="C5" s="8" t="inlineStr">
        <is>
          <t>经销合作协议</t>
        </is>
      </c>
      <c r="D5" s="27" t="n">
        <v>45901</v>
      </c>
      <c r="E5" s="27" t="n">
        <v>46266</v>
      </c>
      <c r="F5" s="20" t="inlineStr">
        <is>
          <t>执行中</t>
        </is>
      </c>
      <c r="G5" s="8" t="inlineStr">
        <is>
          <t>含寄售条款</t>
        </is>
      </c>
      <c r="H5" s="20" t="inlineStr"/>
      <c r="I5" s="20" t="inlineStr">
        <is>
          <t>INV-2026-101</t>
        </is>
      </c>
      <c r="J5" s="20">
        <f>IF(OR(H5&lt;&gt;"",I5&lt;&gt;""),"已开票","待开票")</f>
        <v/>
      </c>
    </row>
    <row r="6">
      <c r="A6" s="18" t="inlineStr">
        <is>
          <t>CT-2025-003</t>
        </is>
      </c>
      <c r="B6" s="6" t="inlineStr">
        <is>
          <t>酷乐潮玩</t>
        </is>
      </c>
      <c r="C6" s="6" t="inlineStr">
        <is>
          <t>经销合作协议</t>
        </is>
      </c>
      <c r="D6" s="24" t="n">
        <v>45915</v>
      </c>
      <c r="E6" s="24" t="n">
        <v>46280</v>
      </c>
      <c r="F6" s="18" t="inlineStr">
        <is>
          <t>执行中</t>
        </is>
      </c>
      <c r="G6" s="6" t="inlineStr">
        <is>
          <t>含寄售条款</t>
        </is>
      </c>
      <c r="H6" s="18" t="inlineStr"/>
      <c r="I6" s="18" t="inlineStr">
        <is>
          <t>INV-2026-102</t>
        </is>
      </c>
      <c r="J6" s="18">
        <f>IF(OR(H6&lt;&gt;"",I6&lt;&gt;""),"已开票","待开票")</f>
        <v/>
      </c>
    </row>
    <row r="7">
      <c r="A7" s="20" t="inlineStr">
        <is>
          <t>CT-2025-004</t>
        </is>
      </c>
      <c r="B7" s="8" t="inlineStr">
        <is>
          <t>TOPTOY</t>
        </is>
      </c>
      <c r="C7" s="8" t="inlineStr">
        <is>
          <t>经销合作协议</t>
        </is>
      </c>
      <c r="D7" s="27" t="n">
        <v>45931</v>
      </c>
      <c r="E7" s="27" t="n">
        <v>46296</v>
      </c>
      <c r="F7" s="20" t="inlineStr">
        <is>
          <t>执行中</t>
        </is>
      </c>
      <c r="G7" s="8" t="inlineStr">
        <is>
          <t>含寄售条款</t>
        </is>
      </c>
      <c r="H7" s="20" t="inlineStr"/>
      <c r="I7" s="20" t="inlineStr">
        <is>
          <t>INV-2026-103</t>
        </is>
      </c>
      <c r="J7" s="20">
        <f>IF(OR(H7&lt;&gt;"",I7&lt;&gt;""),"已开票","待开票")</f>
        <v/>
      </c>
    </row>
    <row r="8">
      <c r="A8" s="18" t="inlineStr">
        <is>
          <t>CT-2025-005</t>
        </is>
      </c>
      <c r="B8" s="6" t="inlineStr">
        <is>
          <t>KKV</t>
        </is>
      </c>
      <c r="C8" s="6" t="inlineStr">
        <is>
          <t>经销合作协议</t>
        </is>
      </c>
      <c r="D8" s="24" t="n">
        <v>45945</v>
      </c>
      <c r="E8" s="24" t="n">
        <v>46310</v>
      </c>
      <c r="F8" s="18" t="inlineStr">
        <is>
          <t>执行中</t>
        </is>
      </c>
      <c r="G8" s="6" t="inlineStr">
        <is>
          <t>含寄售条款</t>
        </is>
      </c>
      <c r="H8" s="18" t="inlineStr"/>
      <c r="I8" s="18" t="inlineStr">
        <is>
          <t>INV-2026-104</t>
        </is>
      </c>
      <c r="J8" s="18">
        <f>IF(OR(H8&lt;&gt;"",I8&lt;&gt;""),"已开票","待开票")</f>
        <v/>
      </c>
    </row>
    <row r="9">
      <c r="A9" s="20" t="inlineStr">
        <is>
          <t>CT-2025-006</t>
        </is>
      </c>
      <c r="B9" s="8" t="inlineStr">
        <is>
          <t>九木杂物社</t>
        </is>
      </c>
      <c r="C9" s="8" t="inlineStr">
        <is>
          <t>经销合作协议</t>
        </is>
      </c>
      <c r="D9" s="27" t="n">
        <v>45962</v>
      </c>
      <c r="E9" s="27" t="n">
        <v>46327</v>
      </c>
      <c r="F9" s="20" t="inlineStr">
        <is>
          <t>执行中</t>
        </is>
      </c>
      <c r="G9" s="8" t="inlineStr">
        <is>
          <t>含寄售条款</t>
        </is>
      </c>
      <c r="H9" s="20" t="inlineStr"/>
      <c r="I9" s="20" t="inlineStr">
        <is>
          <t>INV-2026-105</t>
        </is>
      </c>
      <c r="J9" s="20">
        <f>IF(OR(H9&lt;&gt;"",I9&lt;&gt;""),"已开票","待开票")</f>
        <v/>
      </c>
    </row>
    <row r="10">
      <c r="A10" s="18" t="inlineStr">
        <is>
          <t>CT-2025-007</t>
        </is>
      </c>
      <c r="B10" s="6" t="inlineStr">
        <is>
          <t>沃尔玛</t>
        </is>
      </c>
      <c r="C10" s="6" t="inlineStr">
        <is>
          <t>供货合同</t>
        </is>
      </c>
      <c r="D10" s="24" t="n">
        <v>45976</v>
      </c>
      <c r="E10" s="24" t="n">
        <v>46341</v>
      </c>
      <c r="F10" s="18" t="inlineStr">
        <is>
          <t>执行中</t>
        </is>
      </c>
      <c r="G10" s="6" t="inlineStr">
        <is>
          <t>买断制</t>
        </is>
      </c>
      <c r="H10" s="18" t="inlineStr"/>
      <c r="I10" s="18" t="inlineStr">
        <is>
          <t>INV-2026-106</t>
        </is>
      </c>
      <c r="J10" s="18">
        <f>IF(OR(H10&lt;&gt;"",I10&lt;&gt;""),"已开票","待开票")</f>
        <v/>
      </c>
    </row>
    <row r="11">
      <c r="A11" s="20" t="inlineStr">
        <is>
          <t>CT-2025-008</t>
        </is>
      </c>
      <c r="B11" s="8" t="inlineStr">
        <is>
          <t>广州潮玩前线</t>
        </is>
      </c>
      <c r="C11" s="8" t="inlineStr">
        <is>
          <t>区域经销合同</t>
        </is>
      </c>
      <c r="D11" s="27" t="n">
        <v>45992</v>
      </c>
      <c r="E11" s="27" t="n">
        <v>46357</v>
      </c>
      <c r="F11" s="20" t="inlineStr">
        <is>
          <t>执行中</t>
        </is>
      </c>
      <c r="G11" s="8" t="inlineStr">
        <is>
          <t>华南区域</t>
        </is>
      </c>
      <c r="H11" s="20" t="inlineStr"/>
      <c r="I11" s="20" t="inlineStr">
        <is>
          <t>INV-2026-107</t>
        </is>
      </c>
      <c r="J11" s="20">
        <f>IF(OR(H11&lt;&gt;"",I11&lt;&gt;""),"已开票","待开票")</f>
        <v/>
      </c>
    </row>
    <row r="12">
      <c r="A12" s="18" t="inlineStr">
        <is>
          <t>CT-2025-009</t>
        </is>
      </c>
      <c r="B12" s="6" t="inlineStr">
        <is>
          <t>义乌萌物集</t>
        </is>
      </c>
      <c r="C12" s="6" t="inlineStr">
        <is>
          <t>区域经销合同</t>
        </is>
      </c>
      <c r="D12" s="24" t="n">
        <v>46006</v>
      </c>
      <c r="E12" s="24" t="n">
        <v>46371</v>
      </c>
      <c r="F12" s="18" t="inlineStr">
        <is>
          <t>执行中</t>
        </is>
      </c>
      <c r="G12" s="6" t="inlineStr">
        <is>
          <t>华东区域</t>
        </is>
      </c>
      <c r="H12" s="18" t="inlineStr"/>
      <c r="I12" s="18" t="inlineStr">
        <is>
          <t>INV-2026-108</t>
        </is>
      </c>
      <c r="J12" s="18">
        <f>IF(OR(H12&lt;&gt;"",I12&lt;&gt;""),"已开票","待开票")</f>
        <v/>
      </c>
    </row>
    <row r="13">
      <c r="A13" s="20" t="inlineStr">
        <is>
          <t>CT-2026-001</t>
        </is>
      </c>
      <c r="B13" s="8" t="inlineStr">
        <is>
          <t>林小喵</t>
        </is>
      </c>
      <c r="C13" s="8" t="inlineStr">
        <is>
          <t>艺术家合作协议</t>
        </is>
      </c>
      <c r="D13" s="27" t="n">
        <v>45809</v>
      </c>
      <c r="E13" s="27" t="n">
        <v>46174</v>
      </c>
      <c r="F13" s="20" t="inlineStr">
        <is>
          <t>执行中</t>
        </is>
      </c>
      <c r="G13" s="8" t="inlineStr">
        <is>
          <t>BC-01,BC-07 分成8%</t>
        </is>
      </c>
      <c r="H13" s="20" t="inlineStr">
        <is>
          <t>JX-2026-204</t>
        </is>
      </c>
      <c r="I13" s="20" t="inlineStr"/>
      <c r="J13" s="20">
        <f>IF(OR(H13&lt;&gt;"",I13&lt;&gt;""),"已开票","待开票")</f>
        <v/>
      </c>
    </row>
    <row r="14">
      <c r="A14" s="18" t="inlineStr">
        <is>
          <t>CT-2026-002</t>
        </is>
      </c>
      <c r="B14" s="6" t="inlineStr">
        <is>
          <t>陈卷卷</t>
        </is>
      </c>
      <c r="C14" s="6" t="inlineStr">
        <is>
          <t>艺术家合作协议</t>
        </is>
      </c>
      <c r="D14" s="24" t="n">
        <v>45823</v>
      </c>
      <c r="E14" s="24" t="n">
        <v>46188</v>
      </c>
      <c r="F14" s="18" t="inlineStr">
        <is>
          <t>执行中</t>
        </is>
      </c>
      <c r="G14" s="6" t="inlineStr">
        <is>
          <t>BC-02 分成7%</t>
        </is>
      </c>
      <c r="H14" s="18" t="inlineStr">
        <is>
          <t>JX-2026-205</t>
        </is>
      </c>
      <c r="I14" s="18" t="inlineStr"/>
      <c r="J14" s="18">
        <f>IF(OR(H14&lt;&gt;"",I14&lt;&gt;""),"已开票","待开票")</f>
        <v/>
      </c>
    </row>
    <row r="15">
      <c r="A15" s="20" t="inlineStr">
        <is>
          <t>CT-2026-003</t>
        </is>
      </c>
      <c r="B15" s="8" t="inlineStr">
        <is>
          <t>周布布</t>
        </is>
      </c>
      <c r="C15" s="8" t="inlineStr">
        <is>
          <t>艺术家合作协议</t>
        </is>
      </c>
      <c r="D15" s="27" t="n">
        <v>45839</v>
      </c>
      <c r="E15" s="27" t="n">
        <v>46204</v>
      </c>
      <c r="F15" s="20" t="inlineStr">
        <is>
          <t>执行中</t>
        </is>
      </c>
      <c r="G15" s="8" t="inlineStr">
        <is>
          <t>BC-03,BC-06 分成8%</t>
        </is>
      </c>
      <c r="H15" s="20" t="inlineStr">
        <is>
          <t>JX-2026-206</t>
        </is>
      </c>
      <c r="I15" s="20" t="inlineStr"/>
      <c r="J15" s="20">
        <f>IF(OR(H15&lt;&gt;"",I15&lt;&gt;""),"已开票","待开票")</f>
        <v/>
      </c>
    </row>
    <row r="16">
      <c r="A16" s="18" t="inlineStr">
        <is>
          <t>CT-2026-004</t>
        </is>
      </c>
      <c r="B16" s="6" t="inlineStr">
        <is>
          <t>刘星野</t>
        </is>
      </c>
      <c r="C16" s="6" t="inlineStr">
        <is>
          <t>艺术家合作协议</t>
        </is>
      </c>
      <c r="D16" s="24" t="n">
        <v>45853</v>
      </c>
      <c r="E16" s="24" t="n">
        <v>46218</v>
      </c>
      <c r="F16" s="18" t="inlineStr">
        <is>
          <t>执行中</t>
        </is>
      </c>
      <c r="G16" s="6" t="inlineStr">
        <is>
          <t>BC-04,BC-05 分成7%</t>
        </is>
      </c>
      <c r="H16" s="18" t="inlineStr">
        <is>
          <t>JX-2026-207</t>
        </is>
      </c>
      <c r="I16" s="18" t="inlineStr"/>
      <c r="J16" s="18">
        <f>IF(OR(H16&lt;&gt;"",I16&lt;&gt;""),"已开票","待开票")</f>
        <v/>
      </c>
    </row>
    <row r="17">
      <c r="A17" s="20" t="inlineStr">
        <is>
          <t>CT-2026-005</t>
        </is>
      </c>
      <c r="B17" s="8" t="inlineStr">
        <is>
          <t>赵小喵</t>
        </is>
      </c>
      <c r="C17" s="8" t="inlineStr">
        <is>
          <t>艺术家合作协议</t>
        </is>
      </c>
      <c r="D17" s="27" t="n">
        <v>45870</v>
      </c>
      <c r="E17" s="27" t="n">
        <v>46235</v>
      </c>
      <c r="F17" s="20" t="inlineStr">
        <is>
          <t>执行中</t>
        </is>
      </c>
      <c r="G17" s="8" t="inlineStr">
        <is>
          <t>BC-08 分成10% 含预付¥5000</t>
        </is>
      </c>
      <c r="H17" s="20" t="inlineStr">
        <is>
          <t>JX-2026-208</t>
        </is>
      </c>
      <c r="I17" s="20" t="inlineStr"/>
      <c r="J17" s="20">
        <f>IF(OR(H17&lt;&gt;"",I17&lt;&gt;""),"已开票","待开票")</f>
        <v/>
      </c>
    </row>
  </sheetData>
  <autoFilter ref="A3:J17"/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A1:H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72" t="inlineStr">
        <is>
          <t>📦 代账交接清单 — 菲格洛亚 FIGUEROA（BabyCat IP）</t>
        </is>
      </c>
    </row>
    <row r="2">
      <c r="A2" s="57" t="inlineStr">
        <is>
          <t>交接期间：2026年5月—7月（含 2025 年摩点众筹 / 展会等历史事项备查）   ·   对账基准日：2026-08-11   ·   编制：财务部</t>
        </is>
      </c>
    </row>
    <row r="4" ht="22" customHeight="1">
      <c r="A4" s="3" t="inlineStr">
        <is>
          <t>① 期间业务概况</t>
        </is>
      </c>
    </row>
    <row r="5" ht="17" customHeight="1">
      <c r="A5" s="73" t="inlineStr">
        <is>
          <t>· 销售出库单 45 笔（含退货冲销 1 笔，负值已冲减应收）</t>
        </is>
      </c>
    </row>
    <row r="6" ht="17" customHeight="1">
      <c r="A6" s="73" t="inlineStr">
        <is>
          <t>· 银行回款 22 笔，全部自动匹配到经销商（匹配率 100%）</t>
        </is>
      </c>
    </row>
    <row r="7" ht="17" customHeight="1">
      <c r="A7" s="73" t="inlineStr">
        <is>
          <t>· 经销商 10 家（连锁零售 / 电商平台 / 区域经销 / 海外跨境）</t>
        </is>
      </c>
    </row>
    <row r="8" ht="17" customHeight="1">
      <c r="A8" s="73" t="inlineStr">
        <is>
          <t>· 摩点众筹三阶段结算全部到账；支持明细抽样 112 笔</t>
        </is>
      </c>
    </row>
    <row r="9" ht="17" customHeight="1">
      <c r="A9" s="73" t="inlineStr">
        <is>
          <t>· 潮玩展会 3 场（CTE / HTE / 济南快闪）</t>
        </is>
      </c>
    </row>
    <row r="10" ht="17" customHeight="1">
      <c r="A10" s="73" t="inlineStr">
        <is>
          <t>· 合同台账 14 份，其中艺术家合作协议 5 份</t>
        </is>
      </c>
    </row>
    <row r="12" ht="22" customHeight="1">
      <c r="A12" s="3" t="inlineStr">
        <is>
          <t>② 关键对账结果（公式自动引用各分表）</t>
        </is>
      </c>
    </row>
    <row r="13">
      <c r="A13" s="5" t="inlineStr">
        <is>
          <t>项目</t>
        </is>
      </c>
      <c r="B13" s="5" t="inlineStr">
        <is>
          <t>数值</t>
        </is>
      </c>
    </row>
    <row r="14">
      <c r="A14" s="44" t="inlineStr">
        <is>
          <t>经销商总应收（销售实收）</t>
        </is>
      </c>
      <c r="B14" s="64">
        <f>SUM('🔗 经销商对账'!$C$4:$C$13)</f>
        <v/>
      </c>
    </row>
    <row r="15">
      <c r="A15" s="67" t="inlineStr">
        <is>
          <t>经销商总已回（银行回款）</t>
        </is>
      </c>
      <c r="B15" s="68">
        <f>SUM('🔗 经销商对账'!$E$4:$E$13)</f>
        <v/>
      </c>
    </row>
    <row r="16">
      <c r="A16" s="44" t="inlineStr">
        <is>
          <t>净差异（应收 - 已回）</t>
        </is>
      </c>
      <c r="B16" s="64">
        <f>B14-B15</f>
        <v/>
      </c>
    </row>
    <row r="17">
      <c r="A17" s="67" t="inlineStr">
        <is>
          <t>已匹配家数</t>
        </is>
      </c>
      <c r="B17" s="74">
        <f>COUNTIF('🔗 经销商对账'!$G$4:$G$13,"已匹配")</f>
        <v/>
      </c>
    </row>
    <row r="18">
      <c r="A18" s="44" t="inlineStr">
        <is>
          <t>部分/超额回款家数</t>
        </is>
      </c>
      <c r="B18" s="75">
        <f>COUNTIF('🔗 经销商对账'!$G$4:$G$13,"部分回款")+COUNTIF('🔗 经销商对账'!$G$4:$G$13,"超额回款")</f>
        <v/>
      </c>
    </row>
    <row r="19">
      <c r="A19" s="67" t="inlineStr">
        <is>
          <t>未回款家数</t>
        </is>
      </c>
      <c r="B19" s="74">
        <f>COUNTIF('🔗 经销商对账'!$G$4:$G$13,"未回款")</f>
        <v/>
      </c>
    </row>
    <row r="20">
      <c r="A20" s="44" t="inlineStr">
        <is>
          <t>摩点众筹已到账合计</t>
        </is>
      </c>
      <c r="B20" s="64">
        <f>'🎯 摩点众筹结算'!F8</f>
        <v/>
      </c>
    </row>
    <row r="21">
      <c r="A21" s="67" t="inlineStr">
        <is>
          <t>展会净收入合计</t>
        </is>
      </c>
      <c r="B21" s="68">
        <f>'🎪 展会核算'!I7</f>
        <v/>
      </c>
    </row>
    <row r="22">
      <c r="A22" s="44" t="inlineStr">
        <is>
          <t>艺术家版税应付合计</t>
        </is>
      </c>
      <c r="B22" s="64">
        <f>'🎨 艺术家版税结算'!H12</f>
        <v/>
      </c>
    </row>
    <row r="23">
      <c r="A23" s="67" t="inlineStr">
        <is>
          <t>销售单总数 / 回款笔数</t>
        </is>
      </c>
      <c r="B23" s="67">
        <f>COUNTA('📦 销售出库'!$A$4:$A$48)&amp;" 笔 / "&amp;COUNTA('💰 银行回款'!$A$4:$A$25)&amp;" 笔"</f>
        <v/>
      </c>
    </row>
    <row r="25" ht="22" customHeight="1">
      <c r="A25" s="3" t="inlineStr">
        <is>
          <t>③ 文档交接清单（随附电子版/纸质件）</t>
        </is>
      </c>
    </row>
    <row r="26" ht="17" customHeight="1">
      <c r="A26" s="73" t="inlineStr">
        <is>
          <t>☐ 银行回单 / 对账单：22 笔（『💰 银行回款』），含回款备注核销说明</t>
        </is>
      </c>
    </row>
    <row r="27" ht="17" customHeight="1">
      <c r="A27" s="73" t="inlineStr">
        <is>
          <t>☐ 销售出库单：45 笔（『📦 销售出库』），含退货冲销 -30 件（品质问题，DE-004）</t>
        </is>
      </c>
    </row>
    <row r="28" ht="17" customHeight="1">
      <c r="A28" s="73" t="inlineStr">
        <is>
          <t>☐ 经销商对账确认函：10 家（『🔗 经销商对账』），未对平项见待核对清单</t>
        </is>
      </c>
    </row>
    <row r="29" ht="17" customHeight="1">
      <c r="A29" s="73" t="inlineStr">
        <is>
          <t>☐ 摩点众筹结算单：3 阶段（首款/中款/尾款），支持明细抽样 112 笔</t>
        </is>
      </c>
    </row>
    <row r="30" ht="17" customHeight="1">
      <c r="A30" s="73" t="inlineStr">
        <is>
          <t>☐ 展会收入台账：3 场（CTE / HTE / 济南快闪），含现场收款流水</t>
        </is>
      </c>
    </row>
    <row r="31" ht="17" customHeight="1">
      <c r="A31" s="73" t="inlineStr">
        <is>
          <t>☐ 合同台账：15 份（『📋 合同发票台账』），含艺术家合作协议 5 份</t>
        </is>
      </c>
    </row>
    <row r="32" ht="17" customHeight="1">
      <c r="A32" s="73" t="inlineStr">
        <is>
          <t>☐ 发票：销项 INV-2026-xxx 系列（经销/供货合同）、进项 JX-2026-xxx 系列（平台/艺术家）</t>
        </is>
      </c>
    </row>
    <row r="33" ht="17" customHeight="1">
      <c r="A33" s="73" t="inlineStr">
        <is>
          <t>☐ 费用报销单：10 笔（『🧾 费用报销审核』），OA 审批号已登记</t>
        </is>
      </c>
    </row>
    <row r="34" ht="17" customHeight="1">
      <c r="A34" s="73" t="inlineStr">
        <is>
          <t>☐ 现金日记账：13 笔现金流示例（『💵 现金日记账』）</t>
        </is>
      </c>
    </row>
    <row r="36" ht="22" customHeight="1">
      <c r="A36" s="3" t="inlineStr">
        <is>
          <t>④ 待办 / 风险事项</t>
        </is>
      </c>
    </row>
    <row r="37" ht="17" customHeight="1">
      <c r="A37" s="76" t="inlineStr">
        <is>
          <t>1. 沃尔玛（DE-006）6 月追单账期届满未回，金额较大，建议 8 月优先催收；</t>
        </is>
      </c>
    </row>
    <row r="38" ht="17" customHeight="1">
      <c r="A38" s="76" t="inlineStr">
        <is>
          <t>2. TOPTOY（DE-003）6 月货款仅部分回款 ¥50,000，余款逐单核对；</t>
        </is>
      </c>
    </row>
    <row r="39" ht="17" customHeight="1">
      <c r="A39" s="76" t="inlineStr">
        <is>
          <t>3. 抖音电商（DE-007）已回超出应收（预付款 30,000），建议确认跨期冲销口径；</t>
        </is>
      </c>
    </row>
    <row r="40" ht="17" customHeight="1">
      <c r="A40" s="76" t="inlineStr">
        <is>
          <t>4. 广州潮玩前线（DE-009）抹零差异 ¥0.67、义乌萌物集（DE-010）少付 ¥1.00，建议核销审批；</t>
        </is>
      </c>
    </row>
    <row r="41" ht="17" customHeight="1">
      <c r="A41" s="76" t="inlineStr">
        <is>
          <t>5. TikTok 跨境回款汇兑损益 ¥326.50，建议按到账日汇率入账并留档；</t>
        </is>
      </c>
    </row>
    <row r="42" ht="17" customHeight="1">
      <c r="A42" s="76" t="inlineStr">
        <is>
          <t>6. 艺术家版税待结算（3 位艺术家本期有应计），赵小喵预付 ¥5,000 需在结算时抵扣；</t>
        </is>
      </c>
    </row>
    <row r="43" ht="17" customHeight="1">
      <c r="A43" s="76" t="inlineStr">
        <is>
          <t>7. 隐藏款（BC-07/BC-08）版税分摊口径待与艺术家确认后补计。</t>
        </is>
      </c>
    </row>
    <row r="46" ht="22" customHeight="1">
      <c r="A46" s="3" t="inlineStr">
        <is>
          <t>⑤ 交接确认</t>
        </is>
      </c>
    </row>
    <row r="47" ht="20" customHeight="1">
      <c r="A47" s="62" t="inlineStr">
        <is>
          <t>移交人（菲格洛亚 财务部）</t>
        </is>
      </c>
      <c r="B47" s="73" t="inlineStr">
        <is>
          <t>＿＿＿＿＿＿＿（签名）</t>
        </is>
      </c>
    </row>
    <row r="48" ht="20" customHeight="1">
      <c r="A48" s="62" t="inlineStr">
        <is>
          <t>接收人（代账公司）</t>
        </is>
      </c>
      <c r="B48" s="73" t="inlineStr">
        <is>
          <t>＿＿＿＿＿＿＿（签名）</t>
        </is>
      </c>
    </row>
    <row r="49" ht="20" customHeight="1">
      <c r="A49" s="62" t="inlineStr">
        <is>
          <t>交接日期</t>
        </is>
      </c>
      <c r="B49" s="73" t="inlineStr">
        <is>
          <t>＿＿＿＿＿＿＿＿＿</t>
        </is>
      </c>
    </row>
    <row r="50" ht="20" customHeight="1">
      <c r="A50" s="62" t="inlineStr">
        <is>
          <t>备注</t>
        </is>
      </c>
      <c r="B50" s="73" t="inlineStr">
        <is>
          <t>本清单与各分表共同构成期间账务交接依据，如有异议请在 5 个工作日内提出。</t>
        </is>
      </c>
    </row>
  </sheetData>
  <mergeCells count="33">
    <mergeCell ref="A1:H1"/>
    <mergeCell ref="A2:H2"/>
    <mergeCell ref="A4:H4"/>
    <mergeCell ref="A5:H5"/>
    <mergeCell ref="A6:H6"/>
    <mergeCell ref="A7:H7"/>
    <mergeCell ref="A8:H8"/>
    <mergeCell ref="A9:H9"/>
    <mergeCell ref="A10:H10"/>
    <mergeCell ref="A12:H12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6:H36"/>
    <mergeCell ref="A37:H37"/>
    <mergeCell ref="A38:H38"/>
    <mergeCell ref="A39:H39"/>
    <mergeCell ref="A40:H40"/>
    <mergeCell ref="A41:H41"/>
    <mergeCell ref="A42:H42"/>
    <mergeCell ref="A43:H43"/>
    <mergeCell ref="A46:H46"/>
    <mergeCell ref="B47:F47"/>
    <mergeCell ref="B48:F48"/>
    <mergeCell ref="B49:F49"/>
    <mergeCell ref="B50:F50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8.899999999999999" customWidth="1" min="2" max="2"/>
    <col width="28.45" customWidth="1" min="3" max="3"/>
    <col width="11.2" customWidth="1" min="4" max="4"/>
    <col width="8.899999999999999" customWidth="1" min="5" max="5"/>
    <col width="8" customWidth="1" min="6" max="6"/>
    <col width="41.09999999999999" customWidth="1" min="7" max="7"/>
  </cols>
  <sheetData>
    <row r="1" ht="30" customHeight="1">
      <c r="A1" s="16" t="inlineStr">
        <is>
          <t>💵 现金日记账（示例：众筹 / 展会 / 回款现金流）</t>
        </is>
      </c>
    </row>
    <row r="2" ht="18" customHeight="1">
      <c r="A2" s="17" t="inlineStr">
        <is>
          <t>示例数据基于摩点到账、展会收支与经销商回款；余额列按累计公式自动计算。</t>
        </is>
      </c>
    </row>
    <row r="3">
      <c r="A3" s="5" t="inlineStr">
        <is>
          <t>日期</t>
        </is>
      </c>
      <c r="B3" s="5" t="inlineStr">
        <is>
          <t>凭证号</t>
        </is>
      </c>
      <c r="C3" s="5" t="inlineStr">
        <is>
          <t>摘要</t>
        </is>
      </c>
      <c r="D3" s="5" t="inlineStr">
        <is>
          <t>收入</t>
        </is>
      </c>
      <c r="E3" s="5" t="inlineStr">
        <is>
          <t>支出</t>
        </is>
      </c>
      <c r="F3" s="5" t="inlineStr">
        <is>
          <t>余额</t>
        </is>
      </c>
      <c r="G3" s="5" t="inlineStr">
        <is>
          <t>备注</t>
        </is>
      </c>
    </row>
    <row r="4">
      <c r="A4" s="24" t="n">
        <v>45879</v>
      </c>
      <c r="B4" s="18" t="inlineStr">
        <is>
          <t>CJ-001</t>
        </is>
      </c>
      <c r="C4" s="6" t="inlineStr">
        <is>
          <t>摩点众筹首款到账</t>
        </is>
      </c>
      <c r="D4" s="38" t="n">
        <v>39778</v>
      </c>
      <c r="E4" s="38" t="n">
        <v>0</v>
      </c>
      <c r="F4" s="38">
        <f>D4-E4</f>
        <v/>
      </c>
      <c r="G4" s="6" t="inlineStr">
        <is>
          <t>MD-SETTLE-01（首款50%）</t>
        </is>
      </c>
    </row>
    <row r="5">
      <c r="A5" s="27" t="n">
        <v>45917</v>
      </c>
      <c r="B5" s="20" t="inlineStr">
        <is>
          <t>CJ-002</t>
        </is>
      </c>
      <c r="C5" s="8" t="inlineStr">
        <is>
          <t>CTE玩具展现场收款</t>
        </is>
      </c>
      <c r="D5" s="40" t="n">
        <v>13340</v>
      </c>
      <c r="E5" s="40" t="n">
        <v>0</v>
      </c>
      <c r="F5" s="40">
        <f>F4+D5-E5</f>
        <v/>
      </c>
      <c r="G5" s="8" t="inlineStr">
        <is>
          <t>微信/支付宝/POS</t>
        </is>
      </c>
    </row>
    <row r="6">
      <c r="A6" s="24" t="n">
        <v>45920</v>
      </c>
      <c r="B6" s="18" t="inlineStr">
        <is>
          <t>CJ-003</t>
        </is>
      </c>
      <c r="C6" s="6" t="inlineStr">
        <is>
          <t>CTE玩具展场地及物料费用</t>
        </is>
      </c>
      <c r="D6" s="38" t="n">
        <v>0</v>
      </c>
      <c r="E6" s="38" t="n">
        <v>2340</v>
      </c>
      <c r="F6" s="38">
        <f>F5+D6-E6</f>
        <v/>
      </c>
      <c r="G6" s="6" t="inlineStr">
        <is>
          <t>展会成本</t>
        </is>
      </c>
    </row>
    <row r="7">
      <c r="A7" s="27" t="n">
        <v>45986</v>
      </c>
      <c r="B7" s="20" t="inlineStr">
        <is>
          <t>CJ-004</t>
        </is>
      </c>
      <c r="C7" s="8" t="inlineStr">
        <is>
          <t>摩点众筹中款到账</t>
        </is>
      </c>
      <c r="D7" s="40" t="n">
        <v>25067</v>
      </c>
      <c r="E7" s="40" t="n">
        <v>0</v>
      </c>
      <c r="F7" s="40">
        <f>F6+D7-E7</f>
        <v/>
      </c>
      <c r="G7" s="8" t="inlineStr">
        <is>
          <t>MD-SETTLE-02（中款30%）</t>
        </is>
      </c>
    </row>
    <row r="8">
      <c r="A8" s="24" t="n">
        <v>46017</v>
      </c>
      <c r="B8" s="18" t="inlineStr">
        <is>
          <t>CJ-005</t>
        </is>
      </c>
      <c r="C8" s="6" t="inlineStr">
        <is>
          <t>济南圣诞快闪店零售收款</t>
        </is>
      </c>
      <c r="D8" s="38" t="n">
        <v>44118</v>
      </c>
      <c r="E8" s="38" t="n">
        <v>0</v>
      </c>
      <c r="F8" s="38">
        <f>F7+D8-E8</f>
        <v/>
      </c>
      <c r="G8" s="6" t="inlineStr">
        <is>
          <t>含冬季吊卡首发342个</t>
        </is>
      </c>
    </row>
    <row r="9">
      <c r="A9" s="27" t="n">
        <v>46019</v>
      </c>
      <c r="B9" s="20" t="inlineStr">
        <is>
          <t>CJ-006</t>
        </is>
      </c>
      <c r="C9" s="8" t="inlineStr">
        <is>
          <t>快闪店场地及物料费用</t>
        </is>
      </c>
      <c r="D9" s="40" t="n">
        <v>0</v>
      </c>
      <c r="E9" s="40" t="n">
        <v>5200</v>
      </c>
      <c r="F9" s="40">
        <f>F8+D9-E9</f>
        <v/>
      </c>
      <c r="G9" s="8" t="inlineStr">
        <is>
          <t>POP-001</t>
        </is>
      </c>
    </row>
    <row r="10">
      <c r="A10" s="24" t="n">
        <v>46065</v>
      </c>
      <c r="B10" s="18" t="inlineStr">
        <is>
          <t>CJ-007</t>
        </is>
      </c>
      <c r="C10" s="6" t="inlineStr">
        <is>
          <t>摩点众筹尾款到账</t>
        </is>
      </c>
      <c r="D10" s="38" t="n">
        <v>16711</v>
      </c>
      <c r="E10" s="38" t="n">
        <v>0</v>
      </c>
      <c r="F10" s="38">
        <f>F9+D10-E10</f>
        <v/>
      </c>
      <c r="G10" s="6" t="inlineStr">
        <is>
          <t>MD-SETTLE-03（尾款20%）</t>
        </is>
      </c>
    </row>
    <row r="11">
      <c r="A11" s="27" t="n">
        <v>46110</v>
      </c>
      <c r="B11" s="20" t="inlineStr">
        <is>
          <t>CJ-008</t>
        </is>
      </c>
      <c r="C11" s="8" t="inlineStr">
        <is>
          <t>HTE杭州潮玩展收款</t>
        </is>
      </c>
      <c r="D11" s="40" t="n">
        <v>10490</v>
      </c>
      <c r="E11" s="40" t="n">
        <v>0</v>
      </c>
      <c r="F11" s="40">
        <f>F10+D11-E11</f>
        <v/>
      </c>
      <c r="G11" s="8" t="inlineStr">
        <is>
          <t>微信/支付宝</t>
        </is>
      </c>
    </row>
    <row r="12">
      <c r="A12" s="24" t="n">
        <v>46112</v>
      </c>
      <c r="B12" s="18" t="inlineStr">
        <is>
          <t>CJ-009</t>
        </is>
      </c>
      <c r="C12" s="6" t="inlineStr">
        <is>
          <t>HTE展会费用</t>
        </is>
      </c>
      <c r="D12" s="38" t="n">
        <v>0</v>
      </c>
      <c r="E12" s="38" t="n">
        <v>1860</v>
      </c>
      <c r="F12" s="38">
        <f>F11+D12-E12</f>
        <v/>
      </c>
      <c r="G12" s="6" t="inlineStr">
        <is>
          <t>HTE-001</t>
        </is>
      </c>
    </row>
    <row r="13">
      <c r="A13" s="27" t="n">
        <v>46193</v>
      </c>
      <c r="B13" s="20" t="inlineStr">
        <is>
          <t>CJ-010</t>
        </is>
      </c>
      <c r="C13" s="8" t="inlineStr">
        <is>
          <t>名创优品5月试产回款</t>
        </is>
      </c>
      <c r="D13" s="40" t="n">
        <v>53820.8</v>
      </c>
      <c r="E13" s="40" t="n">
        <v>0</v>
      </c>
      <c r="F13" s="40">
        <f>F12+D13-E13</f>
        <v/>
      </c>
      <c r="G13" s="8" t="inlineStr">
        <is>
          <t>PM-20260620-010</t>
        </is>
      </c>
    </row>
    <row r="14">
      <c r="A14" s="24" t="n">
        <v>46204</v>
      </c>
      <c r="B14" s="18" t="inlineStr">
        <is>
          <t>CJ-011</t>
        </is>
      </c>
      <c r="C14" s="6" t="inlineStr">
        <is>
          <t>抖音电商订货预付款</t>
        </is>
      </c>
      <c r="D14" s="38" t="n">
        <v>30000</v>
      </c>
      <c r="E14" s="38" t="n">
        <v>0</v>
      </c>
      <c r="F14" s="38">
        <f>F13+D14-E14</f>
        <v/>
      </c>
      <c r="G14" s="6" t="inlineStr">
        <is>
          <t>PM-20260701-003（预付款）</t>
        </is>
      </c>
    </row>
    <row r="15">
      <c r="A15" s="27" t="n">
        <v>46235</v>
      </c>
      <c r="B15" s="20" t="inlineStr">
        <is>
          <t>CJ-012</t>
        </is>
      </c>
      <c r="C15" s="8" t="inlineStr">
        <is>
          <t>名创优品6月货款回款</t>
        </is>
      </c>
      <c r="D15" s="40" t="n">
        <v>163348</v>
      </c>
      <c r="E15" s="40" t="n">
        <v>0</v>
      </c>
      <c r="F15" s="40">
        <f>F14+D15-E15</f>
        <v/>
      </c>
      <c r="G15" s="8" t="inlineStr">
        <is>
          <t>PM-20260801-001（多单合并）</t>
        </is>
      </c>
    </row>
    <row r="16">
      <c r="A16" s="24" t="n">
        <v>46242</v>
      </c>
      <c r="B16" s="18" t="inlineStr">
        <is>
          <t>CJ-013</t>
        </is>
      </c>
      <c r="C16" s="6" t="inlineStr">
        <is>
          <t>名创优品7月货款回款</t>
        </is>
      </c>
      <c r="D16" s="38" t="n">
        <v>72680</v>
      </c>
      <c r="E16" s="38" t="n">
        <v>0</v>
      </c>
      <c r="F16" s="38">
        <f>F15+D16-E16</f>
        <v/>
      </c>
      <c r="G16" s="6" t="inlineStr">
        <is>
          <t>PM-20260808-013</t>
        </is>
      </c>
    </row>
    <row r="17">
      <c r="A17" s="42" t="n"/>
      <c r="B17" s="42" t="inlineStr">
        <is>
          <t>本期合计</t>
        </is>
      </c>
      <c r="C17" s="42" t="n"/>
      <c r="D17" s="43">
        <f>SUM(D4:D16)</f>
        <v/>
      </c>
      <c r="E17" s="43">
        <f>SUM(E4:E16)</f>
        <v/>
      </c>
      <c r="F17" s="43">
        <f>F16</f>
        <v/>
      </c>
      <c r="G17" s="42" t="n"/>
    </row>
  </sheetData>
  <mergeCells count="2">
    <mergeCell ref="A1:G1"/>
    <mergeCell ref="A2:G2"/>
  </mergeCell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65" customWidth="1" min="1" max="1"/>
    <col width="13.5" customWidth="1" min="2" max="2"/>
    <col width="8.899999999999999" customWidth="1" min="3" max="3"/>
    <col width="27.3" customWidth="1" min="4" max="4"/>
    <col width="11.2" customWidth="1" min="5" max="5"/>
    <col width="11.2" customWidth="1" min="6" max="6"/>
    <col width="16.95" customWidth="1" min="7" max="7"/>
    <col width="15.8" customWidth="1" min="8" max="8"/>
    <col width="11.2" customWidth="1" min="9" max="9"/>
    <col width="38.8" customWidth="1" min="10" max="10"/>
  </cols>
  <sheetData>
    <row r="1" ht="30" customHeight="1">
      <c r="A1" s="16" t="inlineStr">
        <is>
          <t>🧾 费用报销审核（示例 10 笔）</t>
        </is>
      </c>
    </row>
    <row r="2" ht="18" customHeight="1">
      <c r="A2" s="17" t="inlineStr">
        <is>
          <t>审核状态自动判断：报销金额 ≠ 发票金额 → 发票差异（红）；缺飞书 OA 审批号 → 待OA审批（黄）；其余 → 通过。</t>
        </is>
      </c>
    </row>
    <row r="3">
      <c r="A3" s="5" t="inlineStr">
        <is>
          <t>报销单号</t>
        </is>
      </c>
      <c r="B3" s="5" t="inlineStr">
        <is>
          <t>申请日期</t>
        </is>
      </c>
      <c r="C3" s="5" t="inlineStr">
        <is>
          <t>申请人</t>
        </is>
      </c>
      <c r="D3" s="5" t="inlineStr">
        <is>
          <t>费用类别</t>
        </is>
      </c>
      <c r="E3" s="5" t="inlineStr">
        <is>
          <t>报销金额</t>
        </is>
      </c>
      <c r="F3" s="5" t="inlineStr">
        <is>
          <t>发票金额</t>
        </is>
      </c>
      <c r="G3" s="5" t="inlineStr">
        <is>
          <t>发票号码</t>
        </is>
      </c>
      <c r="H3" s="5" t="inlineStr">
        <is>
          <t>飞书OA审批号</t>
        </is>
      </c>
      <c r="I3" s="5" t="inlineStr">
        <is>
          <t>审核状态</t>
        </is>
      </c>
      <c r="J3" s="5" t="inlineStr">
        <is>
          <t>备注</t>
        </is>
      </c>
    </row>
    <row r="4">
      <c r="A4" s="18" t="inlineStr">
        <is>
          <t>EX-2026-001</t>
        </is>
      </c>
      <c r="B4" s="24" t="n">
        <v>46181</v>
      </c>
      <c r="C4" s="6" t="inlineStr">
        <is>
          <t>陈卷卷</t>
        </is>
      </c>
      <c r="D4" s="6" t="inlineStr">
        <is>
          <t>展会差旅费(CTE玩具展)</t>
        </is>
      </c>
      <c r="E4" s="38" t="n">
        <v>2340</v>
      </c>
      <c r="F4" s="38" t="n">
        <v>2340</v>
      </c>
      <c r="G4" s="6" t="inlineStr">
        <is>
          <t>EZZ-2026-1101</t>
        </is>
      </c>
      <c r="H4" s="18" t="inlineStr">
        <is>
          <t>OA-2026-0102</t>
        </is>
      </c>
      <c r="I4" s="18">
        <f>IF(ABS(E4-F4)&gt;0.01,"发票差异",IF(H4="","待OA审批","通过"))</f>
        <v/>
      </c>
      <c r="J4" s="6" t="inlineStr">
        <is>
          <t>高铁+住宿</t>
        </is>
      </c>
    </row>
    <row r="5">
      <c r="A5" s="20" t="inlineStr">
        <is>
          <t>EX-2026-002</t>
        </is>
      </c>
      <c r="B5" s="27" t="n">
        <v>46188</v>
      </c>
      <c r="C5" s="8" t="inlineStr">
        <is>
          <t>周布布</t>
        </is>
      </c>
      <c r="D5" s="8" t="inlineStr">
        <is>
          <t>展会物料制作(济南快闪)</t>
        </is>
      </c>
      <c r="E5" s="40" t="n">
        <v>5200</v>
      </c>
      <c r="F5" s="40" t="n">
        <v>5200</v>
      </c>
      <c r="G5" s="8" t="inlineStr">
        <is>
          <t>EZZ-2026-1188</t>
        </is>
      </c>
      <c r="H5" s="20" t="inlineStr">
        <is>
          <t>OA-2026-0115</t>
        </is>
      </c>
      <c r="I5" s="20">
        <f>IF(ABS(E5-F5)&gt;0.01,"发票差异",IF(H5="","待OA审批","通过"))</f>
        <v/>
      </c>
      <c r="J5" s="8" t="inlineStr">
        <is>
          <t>POP-001 现场物料</t>
        </is>
      </c>
    </row>
    <row r="6">
      <c r="A6" s="18" t="inlineStr">
        <is>
          <t>EX-2026-003</t>
        </is>
      </c>
      <c r="B6" s="24" t="n">
        <v>46195</v>
      </c>
      <c r="C6" s="6" t="inlineStr">
        <is>
          <t>林小喵</t>
        </is>
      </c>
      <c r="D6" s="6" t="inlineStr">
        <is>
          <t>设计服务费(角色设定)</t>
        </is>
      </c>
      <c r="E6" s="38" t="n">
        <v>8000</v>
      </c>
      <c r="F6" s="38" t="n">
        <v>8000</v>
      </c>
      <c r="G6" s="6" t="inlineStr">
        <is>
          <t>EZZ-2026-1201</t>
        </is>
      </c>
      <c r="H6" s="18" t="inlineStr">
        <is>
          <t>OA-2026-0120</t>
        </is>
      </c>
      <c r="I6" s="18">
        <f>IF(ABS(E6-F6)&gt;0.01,"发票差异",IF(H6="","待OA审批","通过"))</f>
        <v/>
      </c>
      <c r="J6" s="6" t="inlineStr">
        <is>
          <t>新系列角色设定</t>
        </is>
      </c>
    </row>
    <row r="7">
      <c r="A7" s="20" t="inlineStr">
        <is>
          <t>EX-2026-004</t>
        </is>
      </c>
      <c r="B7" s="27" t="n">
        <v>46205</v>
      </c>
      <c r="C7" s="8" t="inlineStr">
        <is>
          <t>刘星野</t>
        </is>
      </c>
      <c r="D7" s="8" t="inlineStr">
        <is>
          <t>打样费(新系列)</t>
        </is>
      </c>
      <c r="E7" s="40" t="n">
        <v>3500</v>
      </c>
      <c r="F7" s="40" t="n">
        <v>3200</v>
      </c>
      <c r="G7" s="8" t="inlineStr">
        <is>
          <t>EZZ-2026-1233</t>
        </is>
      </c>
      <c r="H7" s="20" t="inlineStr">
        <is>
          <t>OA-2026-0129</t>
        </is>
      </c>
      <c r="I7" s="20">
        <f>IF(ABS(E7-F7)&gt;0.01,"发票差异",IF(H7="","待OA审批","通过"))</f>
        <v/>
      </c>
      <c r="J7" s="8" t="inlineStr">
        <is>
          <t>发票金额与报销不一致</t>
        </is>
      </c>
    </row>
    <row r="8">
      <c r="A8" s="18" t="inlineStr">
        <is>
          <t>EX-2026-005</t>
        </is>
      </c>
      <c r="B8" s="24" t="n">
        <v>46213</v>
      </c>
      <c r="C8" s="6" t="inlineStr">
        <is>
          <t>赵小喵</t>
        </is>
      </c>
      <c r="D8" s="6" t="inlineStr">
        <is>
          <t>小红书推广费</t>
        </is>
      </c>
      <c r="E8" s="38" t="n">
        <v>6000</v>
      </c>
      <c r="F8" s="38" t="n">
        <v>6000</v>
      </c>
      <c r="G8" s="6" t="inlineStr">
        <is>
          <t>EZZ-2026-1250</t>
        </is>
      </c>
      <c r="H8" s="18" t="inlineStr">
        <is>
          <t>OA-2026-0131</t>
        </is>
      </c>
      <c r="I8" s="18">
        <f>IF(ABS(E8-F8)&gt;0.01,"发票差异",IF(H8="","待OA审批","通过"))</f>
        <v/>
      </c>
      <c r="J8" s="6" t="inlineStr">
        <is>
          <t>达人笔记投放</t>
        </is>
      </c>
    </row>
    <row r="9">
      <c r="A9" s="20" t="inlineStr">
        <is>
          <t>EX-2026-006</t>
        </is>
      </c>
      <c r="B9" s="27" t="n">
        <v>46221</v>
      </c>
      <c r="C9" s="8" t="inlineStr">
        <is>
          <t>黄多多</t>
        </is>
      </c>
      <c r="D9" s="8" t="inlineStr">
        <is>
          <t>快递物流费(盲盒发货)</t>
        </is>
      </c>
      <c r="E9" s="40" t="n">
        <v>1860</v>
      </c>
      <c r="F9" s="40" t="n">
        <v>1860</v>
      </c>
      <c r="G9" s="8" t="inlineStr">
        <is>
          <t>EZZ-2026-1266</t>
        </is>
      </c>
      <c r="H9" s="20" t="inlineStr">
        <is>
          <t>OA-2026-0137</t>
        </is>
      </c>
      <c r="I9" s="20">
        <f>IF(ABS(E9-F9)&gt;0.01,"发票差异",IF(H9="","待OA审批","通过"))</f>
        <v/>
      </c>
      <c r="J9" s="8" t="inlineStr">
        <is>
          <t>众筹补发货</t>
        </is>
      </c>
    </row>
    <row r="10">
      <c r="A10" s="18" t="inlineStr">
        <is>
          <t>EX-2026-007</t>
        </is>
      </c>
      <c r="B10" s="24" t="n">
        <v>46228</v>
      </c>
      <c r="C10" s="6" t="inlineStr">
        <is>
          <t>何梦鹿</t>
        </is>
      </c>
      <c r="D10" s="6" t="inlineStr">
        <is>
          <t>办公用品</t>
        </is>
      </c>
      <c r="E10" s="38" t="n">
        <v>458</v>
      </c>
      <c r="F10" s="38" t="n">
        <v>458</v>
      </c>
      <c r="G10" s="6" t="inlineStr">
        <is>
          <t>无发票</t>
        </is>
      </c>
      <c r="H10" s="18" t="inlineStr"/>
      <c r="I10" s="18">
        <f>IF(ABS(E10-F10)&gt;0.01,"发票差异",IF(H10="","待OA审批","通过"))</f>
        <v/>
      </c>
      <c r="J10" s="6" t="inlineStr">
        <is>
          <t>零星采购，OA 未归档</t>
        </is>
      </c>
    </row>
    <row r="11">
      <c r="A11" s="20" t="inlineStr">
        <is>
          <t>EX-2026-008</t>
        </is>
      </c>
      <c r="B11" s="27" t="n">
        <v>46235</v>
      </c>
      <c r="C11" s="8" t="inlineStr">
        <is>
          <t>杨桃桃</t>
        </is>
      </c>
      <c r="D11" s="8" t="inlineStr">
        <is>
          <t>打车费(广州出差)</t>
        </is>
      </c>
      <c r="E11" s="40" t="n">
        <v>320</v>
      </c>
      <c r="F11" s="40" t="n">
        <v>300</v>
      </c>
      <c r="G11" s="8" t="inlineStr">
        <is>
          <t>EZZ-2026-1300</t>
        </is>
      </c>
      <c r="H11" s="20" t="inlineStr">
        <is>
          <t>OA-2026-0142</t>
        </is>
      </c>
      <c r="I11" s="20">
        <f>IF(ABS(E11-F11)&gt;0.01,"发票差异",IF(H11="","待OA审批","通过"))</f>
        <v/>
      </c>
      <c r="J11" s="8" t="inlineStr">
        <is>
          <t>行程单与发票差20元</t>
        </is>
      </c>
    </row>
    <row r="12">
      <c r="A12" s="18" t="inlineStr">
        <is>
          <t>EX-2026-009</t>
        </is>
      </c>
      <c r="B12" s="24" t="n">
        <v>46239</v>
      </c>
      <c r="C12" s="6" t="inlineStr">
        <is>
          <t>陈卷卷</t>
        </is>
      </c>
      <c r="D12" s="6" t="inlineStr">
        <is>
          <t>平台服务费(摩点手续费)</t>
        </is>
      </c>
      <c r="E12" s="38" t="n">
        <v>5205.7</v>
      </c>
      <c r="F12" s="38" t="n">
        <v>5205.7</v>
      </c>
      <c r="G12" s="6" t="inlineStr">
        <is>
          <t>EZZ-2026-1311</t>
        </is>
      </c>
      <c r="H12" s="18" t="inlineStr">
        <is>
          <t>OA-2026-0145</t>
        </is>
      </c>
      <c r="I12" s="18">
        <f>IF(ABS(E12-F12)&gt;0.01,"发票差异",IF(H12="","待OA审批","通过"))</f>
        <v/>
      </c>
      <c r="J12" s="6" t="inlineStr">
        <is>
          <t>服务费6%测算</t>
        </is>
      </c>
    </row>
    <row r="13">
      <c r="A13" s="20" t="inlineStr">
        <is>
          <t>EX-2026-010</t>
        </is>
      </c>
      <c r="B13" s="27" t="n">
        <v>46242</v>
      </c>
      <c r="C13" s="8" t="inlineStr">
        <is>
          <t>林小喵</t>
        </is>
      </c>
      <c r="D13" s="8" t="inlineStr">
        <is>
          <t>餐饮招待(渠道洽谈)</t>
        </is>
      </c>
      <c r="E13" s="40" t="n">
        <v>1280</v>
      </c>
      <c r="F13" s="40" t="n">
        <v>1280</v>
      </c>
      <c r="G13" s="8" t="inlineStr">
        <is>
          <t>EZZ-2026-1320</t>
        </is>
      </c>
      <c r="H13" s="20" t="inlineStr">
        <is>
          <t>OA-2026-0148</t>
        </is>
      </c>
      <c r="I13" s="20">
        <f>IF(ABS(E13-F13)&gt;0.01,"发票差异",IF(H13="","待OA审批","通过"))</f>
        <v/>
      </c>
      <c r="J13" s="8" t="inlineStr">
        <is>
          <t>名创优品商务洽谈</t>
        </is>
      </c>
    </row>
  </sheetData>
  <autoFilter ref="A3:J13"/>
  <mergeCells count="2">
    <mergeCell ref="A1:J1"/>
    <mergeCell ref="A2:J2"/>
  </mergeCells>
  <conditionalFormatting sqref="I4:I13">
    <cfRule type="expression" priority="1" dxfId="3">
      <formula>$I4="发票差异"</formula>
    </cfRule>
    <cfRule type="expression" priority="2" dxfId="1">
      <formula>$I4="待OA审批"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2026-08-11T15:37:24Z</dcterms:created>
  <dcterms:modified xsi:type="dcterms:W3CDTF">2026-08-11T15:37:24Z</dcterms:modified>
</cp:coreProperties>
</file>